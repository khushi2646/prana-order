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Master P001-P0136" sheetId="1" r:id="rId5"/>
    <sheet state="hidden" name="Stone Parser" sheetId="2" r:id="rId6"/>
  </sheets>
  <definedNames/>
  <calcPr/>
</workbook>
</file>

<file path=xl/sharedStrings.xml><?xml version="1.0" encoding="utf-8"?>
<sst xmlns="http://schemas.openxmlformats.org/spreadsheetml/2006/main" count="2318" uniqueCount="713">
  <si>
    <t>Design Number</t>
  </si>
  <si>
    <t>Product Category</t>
  </si>
  <si>
    <t>Product Style</t>
  </si>
  <si>
    <t>Product Size</t>
  </si>
  <si>
    <t>CAD Image Link</t>
  </si>
  <si>
    <t>9KT Gold Wt (g)</t>
  </si>
  <si>
    <t>14KT Gold Wt (g)</t>
  </si>
  <si>
    <t>18KT Gold Wt (g)</t>
  </si>
  <si>
    <t>Actual Gold Karat</t>
  </si>
  <si>
    <t>Actual Gold Wt (g)</t>
  </si>
  <si>
    <t>Total Diamond Wt (ct)</t>
  </si>
  <si>
    <t>Total Diamond Pcs</t>
  </si>
  <si>
    <t>Total Colourstone Wt (ct)</t>
  </si>
  <si>
    <t>Total Colourstone Pcs</t>
  </si>
  <si>
    <t>Marks / Remarks</t>
  </si>
  <si>
    <t>Status</t>
  </si>
  <si>
    <t>Date Received</t>
  </si>
  <si>
    <t>Final Approval</t>
  </si>
  <si>
    <t>Rhodium Instruction</t>
  </si>
  <si>
    <t>Review Notes</t>
  </si>
  <si>
    <t>P001</t>
  </si>
  <si>
    <t>Earrings</t>
  </si>
  <si>
    <t>Colourstone Pendant Set</t>
  </si>
  <si>
    <t>14.00mm x 14.00mm; height approx. 7.90mm</t>
  </si>
  <si>
    <t>https://drive.google.com/file/d/1JLGLgix_7DDjBRzmhnF0LhWoRlAlXnJI/view?usp=drivesdk</t>
  </si>
  <si>
    <t>Needs Manual Check</t>
  </si>
  <si>
    <t>BAG 3.60x1.85 - 16 pcs; BAG 3.2x1.85 - 16 pcs; BAG 3.60x2.10 - 16 pcs; Center stone 6.00x6.00; Gold wt 5.70 g. Verify if gold wt is 18KT/current actual wt.</t>
  </si>
  <si>
    <t>Pending Review</t>
  </si>
  <si>
    <t/>
  </si>
  <si>
    <t>CAD image read for visible text. Please verify category/style and stone type.</t>
  </si>
  <si>
    <t>P002</t>
  </si>
  <si>
    <t>Pendant</t>
  </si>
  <si>
    <t>17.00mm x 17.00mm; height approx. 8.20mm</t>
  </si>
  <si>
    <t>https://drive.google.com/file/d/1mFtRUv5lX_MvYrXw5FurautLjPCFxaFR/view?usp=drivesdk</t>
  </si>
  <si>
    <t>BAG 4.30x2.25 - 8 pcs; BAG 3.85x2.25 - 8 pcs; BAG 4.30x2.50 - 8 pcs; Gold wt 3.90 g. Verify whether red stones are diamonds or colourstones and exact karat.</t>
  </si>
  <si>
    <t>CAD image read for visible text. Please verify category/style and whether center is colourstone/diamond.</t>
  </si>
  <si>
    <t>P003</t>
  </si>
  <si>
    <t>Ring</t>
  </si>
  <si>
    <t>Solitaire Ring</t>
  </si>
  <si>
    <t>Top width 9.10mm; height approx. 9.50mm; band width 2.40mm; thickness 2.10mm; center stone 7.3mm</t>
  </si>
  <si>
    <t>https://drive.google.com/file/d/1sSzAUkcqkqTZpZiocyrVg6zhF0-vPYj-/view?usp=drivesdk</t>
  </si>
  <si>
    <t>Round diamonds: 0.90mm 1 pc 0.0035ct; 1.00mm 9 pcs 0.036ct; 1.10mm 100 pcs 0.5ct; 1.20mm 4 pcs 0.028ct. Total 114 pcs / 0.5675ct. Center stone 7.3mm. Gold wt 5 g. Center stone type/ct and actual karat need manual check.</t>
  </si>
  <si>
    <t>Needs CAD image reading. Editable row prepared with lookup/dropdowns.</t>
  </si>
  <si>
    <t>P004</t>
  </si>
  <si>
    <t>Chain Pendant / Chain with Pieces</t>
  </si>
  <si>
    <t>Station Chain</t>
  </si>
  <si>
    <t>https://drive.google.com/file/d/1mv8bB0tlJcdAWn8kw7qfKU8hJZGVXyz-/view?usp=drivesdk</t>
  </si>
  <si>
    <t>Stones visible only; product category/style/gold wt not visible in CAD image. Colourstone/fancy stone detail: Pear 4.00x2.80 - 8 pcs; Marquise 4.25x2.25 - 16 pcs, 4.50x2.50 - 36 pcs, 6.00x3.00 - 4 pcs, 4.00x2.00 - 12 pcs, 4.80x2.50 - 12 pcs. Total visible colourstone pcs 88. Weight not visible.</t>
  </si>
  <si>
    <t>P005</t>
  </si>
  <si>
    <t>Colourstone Pendant</t>
  </si>
  <si>
    <t>12.50mm x 12.50mm; height 5.40mm</t>
  </si>
  <si>
    <t>https://drive.google.com/file/d/13ZTvHslWkfjrKGQ8g5oHFYNfyYF8gnjS/view?usp=drivesdk</t>
  </si>
  <si>
    <t>18KT gold wt 2 g. Heart diamond 7.70x7.70, 1 pc, 1.62 ct. Pink enamel/colour area visible but not listed as colourstone.</t>
  </si>
  <si>
    <t>P006</t>
  </si>
  <si>
    <t>13.50mm x 13.50mm; height 5.40mm</t>
  </si>
  <si>
    <t>https://drive.google.com/file/d/1Ua0QoJUwP3bn6kOWCZWtUSuGvhudlPxh/view?usp=drivesdk</t>
  </si>
  <si>
    <t>18KT gold wt 2.20 g. Radiant stone 7.60x6.00, 1 pc visible. Stone ct/weight not visible; verify if diamond or colourstone if required.</t>
  </si>
  <si>
    <t>P007</t>
  </si>
  <si>
    <t>Solitaire Pendant Set</t>
  </si>
  <si>
    <t>9.50mm x 9.80mm; height 5.40mm</t>
  </si>
  <si>
    <t>https://drive.google.com/file/d/1TRYJ6ue5IzQzPTL4D-IZ5_9D2I0GLWwS/view?usp=drivesdk</t>
  </si>
  <si>
    <t>18KT gold wt shown as '4.30 MM' on image; treated as 4.30 g but needs verification. Round diamond 6.50mm, 2 pcs visible. Diamond ct/weight not visible.</t>
  </si>
  <si>
    <t>P008</t>
  </si>
  <si>
    <t>11mm x 11mm; height 6mm</t>
  </si>
  <si>
    <t>https://drive.google.com/file/d/1MRS-mHz_kcqjqgeiqCxKv0FKnCRaX6nP/view?usp=drivesdk</t>
  </si>
  <si>
    <t>18KT gold wt 3 g. Round center stone 7.30mm, 1 pc visible. Stone ct/weight not visible.</t>
  </si>
  <si>
    <t>P009</t>
  </si>
  <si>
    <t>11.50mm x 12.00mm; height 6.20mm</t>
  </si>
  <si>
    <t>https://drive.google.com/file/d/1QQb43aOa6xqdOxucb8yzjkVh-qrYPS2K/view?usp=drivesdk</t>
  </si>
  <si>
    <t>18KT gold wt 1.50 g. Heart stone 7.10x7.10mm, 1 pc visible. Stone ct/weight not visible; pink enamel/colour area visible but not listed as colourstone.</t>
  </si>
  <si>
    <t>P010</t>
  </si>
  <si>
    <t>10.80mm x 11.10mm; height 6.60mm</t>
  </si>
  <si>
    <t>https://drive.google.com/file/d/1yuuX3TQmshJdwF_KqX4wM73bdwuNxqFQ/view?usp=drivesdk</t>
  </si>
  <si>
    <t>Gold wt 3.20 g. Heart stone 6.60x6.60mm, 2 pcs visible. Gold karat and stone ct/weight not visible; pink enamel/colour area visible but not listed as colourstone.</t>
  </si>
  <si>
    <t>P011</t>
  </si>
  <si>
    <t>11.00mm x 13.50mm; height 6.30mm</t>
  </si>
  <si>
    <t>https://drive.google.com/file/d/1lGntY2u5xbd1_v_6-sWjVqxfS02uwHaO/view?usp=drivesdk</t>
  </si>
  <si>
    <t>Gold wt 1.60 g. Oval stone 8.70x6.30mm, 1 pc visible. Gold karat and stone ct/weight not visible; pink enamel/colour area visible but not listed as colourstone.</t>
  </si>
  <si>
    <t>P012</t>
  </si>
  <si>
    <t>Needs CAD review</t>
  </si>
  <si>
    <t>No</t>
  </si>
  <si>
    <t>P013</t>
  </si>
  <si>
    <t>Stone 8.30x5.80mm; head height 7.60mm; band width 2.10mm</t>
  </si>
  <si>
    <t>Uploaded image: P013.jpg</t>
  </si>
  <si>
    <t>18KT gold wt 3 gm. Emerald/rectangular stone 8.30x5.80mm, 1 pc. Stone ct/weight not visible.</t>
  </si>
  <si>
    <t>P014</t>
  </si>
  <si>
    <t>Stone 6.50x6.50mm; head height 7.60mm; band width 2.40mm</t>
  </si>
  <si>
    <t>Uploaded images: P014.jpg / P014 V2.jpg</t>
  </si>
  <si>
    <t>Primary image P014.jpg: 18KT gold wt 3 gm; Princess diamond 6.50x6.50mm, 1 pc, 1.75ct. Uploaded P014 V2 shows alternate value 18KT 3.60gm / dia 7x7, so verify final version.</t>
  </si>
  <si>
    <t>P015</t>
  </si>
  <si>
    <t>Halo Ring</t>
  </si>
  <si>
    <t>Top 16.20mm; head height 8.50mm; band width 1.80mm; center oval 12.00x8.50mm</t>
  </si>
  <si>
    <t>Uploaded image: P015.jpg</t>
  </si>
  <si>
    <t>0.8276 + center oval weight needs check</t>
  </si>
  <si>
    <t>18KT gold wt 4.60g. Side rounds: 1.50mm 14 pcs 0.203ct; 2.00mm 18 pcs 0.6246ct; visible side total 32 pcs / 0.8276ct. Center oval 12.00x8.50mm; center ct not visible.</t>
  </si>
  <si>
    <t>P016</t>
  </si>
  <si>
    <t>Fancy Pendant</t>
  </si>
  <si>
    <t>27.10mm x 14.40mm; pendant body 20.00mm; height 5.90mm</t>
  </si>
  <si>
    <t>Uploaded image: P016.jpg</t>
  </si>
  <si>
    <t>18KT gold wt 2.90g. Diamonds: rounds 49 pcs / 0.336ct, oval 6.00x4.40 1 pc / 0.40ct, pear 8.00x5.00 1 pc / 0.74ct. Total visible diamond 51 pcs / 1.476ct.</t>
  </si>
  <si>
    <t>P017</t>
  </si>
  <si>
    <t>Necklace</t>
  </si>
  <si>
    <t>Multi-line Necklace</t>
  </si>
  <si>
    <t>7.70 inch / 9.20 inch options visible</t>
  </si>
  <si>
    <t>Uploaded image: P017.jpg</t>
  </si>
  <si>
    <t>11.90 / 13.80</t>
  </si>
  <si>
    <t>Necklace image shows two visible 14KT gold weight labels: 11.90gm near 7.70 inch and 13.80gm near 9.20 inch. Stone table/stone wt not visible; final size/version needs manual check.</t>
  </si>
  <si>
    <t>P018</t>
  </si>
  <si>
    <t>Cocktail Ring with Colourstone</t>
  </si>
  <si>
    <t>Top width 11.20mm; head height 11.40mm; band width 2.90mm; band thickness 1.60mm</t>
  </si>
  <si>
    <t>Uploaded image: P018.jpg</t>
  </si>
  <si>
    <t>18KT gold wt 6.80g. Diamonds visible: round 1.00mm 27 pcs 0.10ct; 1.10mm 4 pcs 0.02ct; 1.20mm 4 pcs 0.026ct; 1.30mm 14 pcs 0.12ct; center round 6.50mm 1 pc 1.24ct. Total visible 50 pcs / 1.506ct. Enamel/colour area visible but not listed as colourstone.</t>
  </si>
  <si>
    <t>P019</t>
  </si>
  <si>
    <t>Height 15.0mm; head height 7.10mm; band width 6.20mm; band thickness 1.50mm</t>
  </si>
  <si>
    <t>Uploaded image: P019.jpg</t>
  </si>
  <si>
    <t>Gold wt appears 11.20g but karat not visible. Stone table visible: RD 1.3 4 pcs, RD 1.5 8 pcs, RD 1.6 30 pcs, RD 1.7 26 pcs, BUGG 3.40x1.70 16 pcs, Oval 10.50x7.60 1 pc. Table has counts but no stone weight/type split; verify diamond vs colourstone.</t>
  </si>
  <si>
    <t>P020</t>
  </si>
  <si>
    <t>Hasli Collar Choker Necklace</t>
  </si>
  <si>
    <t>Uploaded image: P020.jpg</t>
  </si>
  <si>
    <t>14KT gold wt 16g. Diamond/white stones: RD 1.80mm 117 pcs; MQ 7.00x3.50mm 12 pcs. Colour stones: Pear 10.00x6.50 1 pc, 9.00x6.00 1 pc, 8.00x5.50 1 pc. Stone weights not visible.</t>
  </si>
  <si>
    <t>P021</t>
  </si>
  <si>
    <t>Chain Pendant</t>
  </si>
  <si>
    <t>Two Stone Pendant</t>
  </si>
  <si>
    <t>Top 12.80mm x 9.90mm; height 4.40mm</t>
  </si>
  <si>
    <t>Uploaded image: P021.png</t>
  </si>
  <si>
    <t>14KT gold wt 1.45g. Stones visible in table: Pear 9.50x5.90 1 pc; Round 6.30x6.30 1 pc. Stone weights not visible.</t>
  </si>
  <si>
    <t>P022</t>
  </si>
  <si>
    <t>Two Stone Earrings</t>
  </si>
  <si>
    <t>Top 10.00mm x 7.90mm; height 3.70mm</t>
  </si>
  <si>
    <t>Uploaded image: P022.jpg</t>
  </si>
  <si>
    <t>18KT gold wt 1.70g. Stones visible in table: Pear 7.60x4.70 2 pcs; Round 5.10x5.10 2 pcs. Stone weights not visible.</t>
  </si>
  <si>
    <t>P023</t>
  </si>
  <si>
    <t>Top height 7.30mm; head height 7.70mm; band width 2.50mm; band thickness 2.00mm</t>
  </si>
  <si>
    <t>Uploaded image: P023.jpg</t>
  </si>
  <si>
    <t>Stone table visible but no weight/gold wt visible. RD 1.10mm 96 pcs, RD 1.35mm 30 pcs, RD 7.20mm 1 pc. Volume shown as 240; not gold wt.</t>
  </si>
  <si>
    <t>P024</t>
  </si>
  <si>
    <t>Fancy Ring</t>
  </si>
  <si>
    <t>Top 10.30mm; main band 7.00mm; head height 3.00mm; band thickness 1.80mm</t>
  </si>
  <si>
    <t>Uploaded image: P024.jpg</t>
  </si>
  <si>
    <t>0.63 + round wt needs check</t>
  </si>
  <si>
    <t>Gold wt 8.20g; karat not visible. Table: RD 1.80mm 17 pcs; MQ 6.0x3.1 1 pc 0.23ct; PEAR 6.1x3.9 1 pc 0.40ct. Round weight not visible, so total diamond wt incomplete.</t>
  </si>
  <si>
    <t>P025</t>
  </si>
  <si>
    <t>Cocktail Pendant Set</t>
  </si>
  <si>
    <t>Uploaded image: P025.jpg</t>
  </si>
  <si>
    <t>Total gem weight 8.36, total gem count 86. Diamond table: Round 1.30x1.30 38 pcs 0.31ct; Pear 7.00x5.00 4 pcs 2.58ct; Pear 4.00x2.50 20 pcs 1.85ct; Pear 4.50x3.01 24 pcs 3.61ct. Gold wt not visible.</t>
  </si>
  <si>
    <t>P026</t>
  </si>
  <si>
    <t>Uploaded image: P026.jpg</t>
  </si>
  <si>
    <t>Total gem weight 6.19, total gem count 95. Table: Pear 8.00x5.00 1 pc 0.74ct; Pear 7.00x5.00 1 pc 0.65ct; Pear 4.00x2.50 10 pcs 0.93ct; Pear 5.50x3.50 12 pcs 2.99ct; Round 1.50x1.50 71 pcs 0.89ct. Gold wt not visible.</t>
  </si>
  <si>
    <t>P027</t>
  </si>
  <si>
    <t>Huggies</t>
  </si>
  <si>
    <t>18.20mm x 18.20mm</t>
  </si>
  <si>
    <t>Uploaded image: P027.jpg</t>
  </si>
  <si>
    <t>14KT gold wt 2.80g. Marquise diamond table: 4.80x2.50 2 pcs 0.26ct; 4.50x2.50 10 pcs 1.22ct; 4.00x2.00 2 pcs 0.17ct; 4.25x2.25 6 pcs 0.56ct. Total 20 pcs / 2.21ct.</t>
  </si>
  <si>
    <t>P028</t>
  </si>
  <si>
    <t>23.00mm x 7.00mm</t>
  </si>
  <si>
    <t>Uploaded image: P028.jpg</t>
  </si>
  <si>
    <t>Gold wt 2.40g; karat not visible. Diamonds: Pear 4.00x3.00 2 pcs 0.27ct; Marquise 3.00x1.50 6 pcs 0.13ct. Colour stones: 1.20mm 24 pcs, 1.10mm 20 pcs; colour stone wt not visible.</t>
  </si>
  <si>
    <t>P029</t>
  </si>
  <si>
    <t>Chain lengths/sections visible: 140mm, 50mm, 25mm</t>
  </si>
  <si>
    <t>Uploaded image: P029.jpg</t>
  </si>
  <si>
    <t>Gold wt 2.70g; karat not visible. Colour stone: 1.30mm 15 pcs, 1.40mm 6 pcs, 1.20mm 1 pc. White stones: PE 5.0x3.0 1 pc; MQ 3.5x2.0 5 pcs; MQ 3.0x1.5 6 pcs. Stone weights not visible.</t>
  </si>
  <si>
    <t>P030</t>
  </si>
  <si>
    <t>Bracelet</t>
  </si>
  <si>
    <t>Tennis Bracelet</t>
  </si>
  <si>
    <t>6.25 inch</t>
  </si>
  <si>
    <t>Uploaded image: P030.jpg</t>
  </si>
  <si>
    <t>18KT gold wt 19.000g. Round diamond listed 7.50mm = 70 pcs; verify size because 7.50mm may be a typo. Colour stone cushion 4.20x4.20mm = 35 pcs. Stone weights not visible.</t>
  </si>
  <si>
    <t>P031</t>
  </si>
  <si>
    <t>120mm</t>
  </si>
  <si>
    <t>Uploaded image: P031.jpg</t>
  </si>
  <si>
    <t>APX 14KT gold wt 9.600g. Visible diamond table total calculated as 192 pcs / 5.137ct: baguette 12 pcs 0.33ct; rounds 172 pcs 1.917ct; pear 2 pcs 0.71ct; oval 6 pcs 2.18ct. Verify total because table is small.</t>
  </si>
  <si>
    <t>P032</t>
  </si>
  <si>
    <t>P033</t>
  </si>
  <si>
    <t>Top width 9.00mm; head height 5.10mm; band width 4.00mm; center stone 7.37mm</t>
  </si>
  <si>
    <t>Uploaded image: P033.jpg</t>
  </si>
  <si>
    <t>18KT gold wt 9g. Center stone 7.37mm 1 pc. RD 1.50mm 10 pcs. Stone weights not visible.</t>
  </si>
  <si>
    <t>P034</t>
  </si>
  <si>
    <t>P035</t>
  </si>
  <si>
    <t>Two Stone Ring</t>
  </si>
  <si>
    <t>Top 32.55 x 23.84 mm, height 3.80 mm</t>
  </si>
  <si>
    <t>Uploaded image P035.jpg</t>
  </si>
  <si>
    <t>18KT gold wt 0.60g. Pear diamond 6.00x4.00 1 pc 0.35ct. Round diamond 4.10x4.10 1 pc 0.34ct. Total 2 pcs 0.69ct.</t>
  </si>
  <si>
    <t>P036</t>
  </si>
  <si>
    <t>Necklace Earrings</t>
  </si>
  <si>
    <t>Long Earrings</t>
  </si>
  <si>
    <t>Length 75.91 mm</t>
  </si>
  <si>
    <t>Uploaded image P036.jpg</t>
  </si>
  <si>
    <t>18KT gold wt 11.40g. Diamonds round 20 pcs 2.51ct, emerald 2 pcs 1.40ct, pear 4 pcs 2.90ct, princess 2 pcs 1.57ct. Total 28 pcs 8.38ct.</t>
  </si>
  <si>
    <t>P037</t>
  </si>
  <si>
    <t>Colourstone Earrings</t>
  </si>
  <si>
    <t>Length 37 mm</t>
  </si>
  <si>
    <t>Uploaded image P037.jpg</t>
  </si>
  <si>
    <t>0.53 plus fancy stone wt needs check</t>
  </si>
  <si>
    <t>18KT gold wt 6.00g. Round diamonds 42 pcs 0.53ct. Other stones cushion 5.24x5.24 1 pc, pear 8 pcs, colour stone 7.00x5.00 1 pc. Fancy stone weights need check.</t>
  </si>
  <si>
    <t>P038</t>
  </si>
  <si>
    <t>Uploaded image P038.jpg</t>
  </si>
  <si>
    <t>2.77 plus fancy stone wt needs check</t>
  </si>
  <si>
    <t>14KT gold wt 14.00g. Round diamonds total 52 pcs 2.77ct. Other white stones MQ 24 pcs, princess 1 pc, pear 5 pcs, oval 1 pc. Colour stone 7.40x5.40 1 pc.</t>
  </si>
  <si>
    <t>P039</t>
  </si>
  <si>
    <t>P040</t>
  </si>
  <si>
    <t>Danglers</t>
  </si>
  <si>
    <t>27.17 x 14.99 mm, height 4.53 mm</t>
  </si>
  <si>
    <t>Uploaded image P040.jpg</t>
  </si>
  <si>
    <t>14KT gold wt 3.80g. Diamonds round 38 pcs 0.316ct, marquise 7.00x3.50 2 pcs 0.65ct, pear 8.00x5.50 2 pcs 1.95ct. Total 42 pcs 2.916ct.</t>
  </si>
  <si>
    <t>P041</t>
  </si>
  <si>
    <t>Three Stone Ring</t>
  </si>
  <si>
    <t>Ring size 13, top width 17.20 mm, height 5.20 mm, band 3.00 mm</t>
  </si>
  <si>
    <t>Uploaded image P041.jpg</t>
  </si>
  <si>
    <t>Oval diamond 6.00x4.50 mm, 3 pcs, 1.69ct. Gold wt and karat not visible. Stones appear coloured in render but table says diamond, verify.</t>
  </si>
  <si>
    <t>P042</t>
  </si>
  <si>
    <t>Uploaded image P042.jpg</t>
  </si>
  <si>
    <t>18KT gold wt 16.00g. Round diamond 4.00 mm, 37 pcs. Table shows avg wt 0.2500 but total wt field unclear, so diamond wt needs manual check.</t>
  </si>
  <si>
    <t>P043</t>
  </si>
  <si>
    <t>Uploaded image P043.jpg</t>
  </si>
  <si>
    <t>Gold wt 17.00g, karat not visible. Heart stones 3.50x3.50 mm, 43 pcs. Stone weight not visible.</t>
  </si>
  <si>
    <t>P044</t>
  </si>
  <si>
    <t>P045</t>
  </si>
  <si>
    <t>P046</t>
  </si>
  <si>
    <t>Pendant Set</t>
  </si>
  <si>
    <t>Solitaire Stud Earrings</t>
  </si>
  <si>
    <t>8.56 x 7.71 mm, height 5.08 mm</t>
  </si>
  <si>
    <t>Uploaded image P046.jpg</t>
  </si>
  <si>
    <t>18KT gold wt 0.63g. Princess diamonds 5.53x5.38 1 pc 1.01ct and 5.47x5.43 1 pc 1.02ct. Total 2 pcs 2.03ct.</t>
  </si>
  <si>
    <t>P047</t>
  </si>
  <si>
    <t>Solitaire Pendant</t>
  </si>
  <si>
    <t>15.09 x 8.87 mm, stone area 9.67 mm, height 5.30 mm</t>
  </si>
  <si>
    <t>Uploaded image P047.jpg</t>
  </si>
  <si>
    <t>18KT gold wt 0.44g. Princess diamond 6.37x6.17 mm, 1 pc, 1.53ct.</t>
  </si>
  <si>
    <t>P048</t>
  </si>
  <si>
    <t>8.27 x 8.27 mm, height 5.13 mm</t>
  </si>
  <si>
    <t>Uploaded image P048.jpg</t>
  </si>
  <si>
    <t>18KT gold wt 1.10g. Cushion square diamonds 5.85x5.70 1 pc 1.08ct and 5.82x5.76 1 pc 1.09ct. Total 2 pcs 2.17ct.</t>
  </si>
  <si>
    <t>P049</t>
  </si>
  <si>
    <t>9.41 x 9.61 mm, height 5.83 mm</t>
  </si>
  <si>
    <t>Uploaded image P049.jpg</t>
  </si>
  <si>
    <t>18KT gold wt 0.81g. Cushion square diamond 6.75x6.55 mm, 1 pc, 1.64ct.</t>
  </si>
  <si>
    <t>P050</t>
  </si>
  <si>
    <t>8.37 x 7.76 mm height 5.93 mm</t>
  </si>
  <si>
    <t>Uploaded image P050.jpg</t>
  </si>
  <si>
    <t>18KT gold wt 1.25g. Heart diamonds 6.38x6.85 1 pc 1.33ct and 6.32x7.08 1 pc 1.40ct. Total 2 pcs 2.73ct.</t>
  </si>
  <si>
    <t>P051</t>
  </si>
  <si>
    <t>Uploaded image P051.jpg</t>
  </si>
  <si>
    <t>Heart pendant image only. No readable dimensions, gold wt, karat, stone size, stone wt or stone count visible.</t>
  </si>
  <si>
    <t>P052</t>
  </si>
  <si>
    <t>Solitaire Earrings</t>
  </si>
  <si>
    <t>9.40 mm top, height approx 5.70 to 6.04 mm</t>
  </si>
  <si>
    <t>Uploaded image P052.jpg</t>
  </si>
  <si>
    <t>Approx 18KT gold wt 1.90g. Round diamond shown as 6.50 and 6.56 mm, likely 2 pcs. Diamond ct not visible.</t>
  </si>
  <si>
    <t>P053</t>
  </si>
  <si>
    <t>Pendant 10.44 mm, height 6.50 mm</t>
  </si>
  <si>
    <t>Uploaded image P053.jpg</t>
  </si>
  <si>
    <t>Approx 18KT gold wt 1.40g. Round diamond 7.24 mm, 1 pc. Diamond ct not visible.</t>
  </si>
  <si>
    <t>P054</t>
  </si>
  <si>
    <t>4.00 mm round, top height 5.20 mm, band 2.50 mm; ring size needs check</t>
  </si>
  <si>
    <t>Uploaded image P055.jpg</t>
  </si>
  <si>
    <t>18KT gold wt 3.50g. Round stones 4.00 mm; count/ct not visible, verify manually.</t>
  </si>
  <si>
    <t>P055</t>
  </si>
  <si>
    <t>Fancy Band</t>
  </si>
  <si>
    <t>Uploaded image P056.jpg</t>
  </si>
  <si>
    <t>Stone weight not visible</t>
  </si>
  <si>
    <t>Gold wt 18.50g. Colour stones: PR 2.50mm 2pcs, PR 3.50mm 6pcs, PR 4.00mm 5pcs, PR 4.50mm 2pcs, MQ 5.0x3.0mm 4pcs, MQ 6.0x3.0mm 4pcs, MQ 7.0x3.50mm 6pcs, PE 4.0x2.50mm 4pcs, PE 5.0x3.0mm 4pcs, PE 6.0x4.0mm 6pcs. Total 43 stones.</t>
  </si>
  <si>
    <t>P056</t>
  </si>
  <si>
    <t>Fancy Necklace</t>
  </si>
  <si>
    <t>Not clearly visible in batch</t>
  </si>
  <si>
    <t>No clear separate P056 image</t>
  </si>
  <si>
    <t>P056 not clearly identifiable separately in uploaded batch. Verify image/design number.</t>
  </si>
  <si>
    <t>P057</t>
  </si>
  <si>
    <t>Fancy Earrings</t>
  </si>
  <si>
    <t>18.17 x 13.67 mm, height 6.55 mm</t>
  </si>
  <si>
    <t>Uploaded image P057.jpg</t>
  </si>
  <si>
    <t>Approx 18KT gold wt 5.40g with chaki post. All stones prong setting. Marquise 6.00x3.00mm 12pcs 2.11ct; Pear 5.50x3.50mm 4pcs 1.00ct; Princess 4.50x4.50mm 2pcs 1.14ct. Total 18 pcs 4.25ct.</t>
  </si>
  <si>
    <t>P058</t>
  </si>
  <si>
    <t>Ring size needs check</t>
  </si>
  <si>
    <t>Uploaded image P058.jpg</t>
  </si>
  <si>
    <t>18KT gold wt 7.70g. Round diamonds 1.20mm 64pcs, total approx 0.45ct. Emerald stones 5.50x3.70mm 2pcs. Table also shows total count 68, verify count.</t>
  </si>
  <si>
    <t>P059</t>
  </si>
  <si>
    <t>28.00 mm length, 11.00 mm height</t>
  </si>
  <si>
    <t>Uploaded image P059.jpg</t>
  </si>
  <si>
    <t>18KT gold wt 9.00g. Round diamond table total 138 pcs, 1.18ct. Pear 5.50x3.50mm 8 pcs shown separately; stone type/weight needs manual check.</t>
  </si>
  <si>
    <t>P060</t>
  </si>
  <si>
    <t>20.00 mm length, 8.30 mm height</t>
  </si>
  <si>
    <t>Uploaded image P060.jpg</t>
  </si>
  <si>
    <t>18KT gold wt 6.30g. Round diamonds total 196 pcs, 1.15ct. Pear 3.00x2.00mm 16 pcs shown separately; stone type/weight needs manual check.</t>
  </si>
  <si>
    <t>P061</t>
  </si>
  <si>
    <t>Uploaded image P061.jpg</t>
  </si>
  <si>
    <t>Cushion diamond 11.00x9.00mm 1 pc 5.56ct; round diamonds 1.00mm 102 pcs 0.30ct. Total diamond 103 pcs, 5.86ct. Gold wt not visible.</t>
  </si>
  <si>
    <t>P062</t>
  </si>
  <si>
    <t>16.00 x 10.65 mm, height 3.99 mm</t>
  </si>
  <si>
    <t>Uploaded image P062.jpg</t>
  </si>
  <si>
    <t>18KT gold wt 1.60g. Round diamonds 9 pcs approx 0.069ct. Fancy stones listed OV 6.00x4.00mm 1 pc, MQ 8.00x4.00mm 1 pc, PE 6.00x4.00mm 1 pc; fancy wt not visible.</t>
  </si>
  <si>
    <t>P063</t>
  </si>
  <si>
    <t>Top height 16.58 mm, head height 6.05 mm, band 4.96 mm</t>
  </si>
  <si>
    <t>Uploaded image P063.jpg</t>
  </si>
  <si>
    <t>14KT gold wt 8.70g, 18KT gold wt 9.95g. Round diamonds 1.00mm 122 pcs 0.46ct, 6.50mm 1 pc 1.16ct, 1.10mm 19 pcs 0.09ct. Total 142 pcs, 1.71ct.</t>
  </si>
  <si>
    <t>P064</t>
  </si>
  <si>
    <t>8.00 mm round dia, height 6.41 mm</t>
  </si>
  <si>
    <t>Uploaded image P064.jpeg</t>
  </si>
  <si>
    <t>14KT gold wt 1.80g, 18KT gold wt 2.06g. Round diamond 8.00mm, likely 2 pcs. Diamond ct not visible.</t>
  </si>
  <si>
    <t>P065</t>
  </si>
  <si>
    <t>8.00 mm round dia, height 6.39 mm</t>
  </si>
  <si>
    <t>Uploaded image P065.jpeg</t>
  </si>
  <si>
    <t>14KT gold wt 1.60g, 18KT gold wt 1.80g. Round diamond 8.00mm, likely 2 pcs. Diamond ct not visible.</t>
  </si>
  <si>
    <t>P066</t>
  </si>
  <si>
    <t>Two ring designs in same image; sizes/dimensions need check</t>
  </si>
  <si>
    <t>Uploaded image P066.jpg</t>
  </si>
  <si>
    <t>Left design 2.13ct; right design 1.04ct</t>
  </si>
  <si>
    <t>Left 67 pcs; right 123 pcs</t>
  </si>
  <si>
    <t>Image contains two ring designs. Left: 14KT 3.90g, 18KT 4.50g, heart 7.46x7.40 1pc 1.52ct, round 66pcs 0.61ct. Right: 14KT 6.40g, 18KT 7.30g, round 123pcs 1.04ct. Verify which design is P066.</t>
  </si>
  <si>
    <t>P067</t>
  </si>
  <si>
    <t>Band Ring</t>
  </si>
  <si>
    <t>No separate P067 image uploaded in this batch</t>
  </si>
  <si>
    <t>P067 not uploaded as a separate clear image. Do not fill until image is shared.</t>
  </si>
  <si>
    <t>P068</t>
  </si>
  <si>
    <t>Top height 12.30 mm, head height 4.30 mm</t>
  </si>
  <si>
    <t>Uploaded image P068.jpg</t>
  </si>
  <si>
    <t>14KT gold wt 6.10g, 18KT gold wt 7.00g. Round diamonds 51pcs 0.195ct. Pear diamonds 4.00x2.50 2pcs 0.19ct and 7.00x5.00 1pc 0.65ct. Total 54 pcs, 1.035ct.</t>
  </si>
  <si>
    <t>P069</t>
  </si>
  <si>
    <t>No separate P069 image uploaded in this batch</t>
  </si>
  <si>
    <t>P069 not uploaded as a separate clear image. Do not fill until image is shared.</t>
  </si>
  <si>
    <t>P070</t>
  </si>
  <si>
    <t>Fancy Solitaire Pendant</t>
  </si>
  <si>
    <t>34.11 x 42.63 mm, height 7.93 mm</t>
  </si>
  <si>
    <t>Uploaded image P070.jpg</t>
  </si>
  <si>
    <t>14KT gold wt 7.70g. Center round brilliant diamond 6.11-6.16 x 3.86 mm, 0.90ct, G, VS2, Excellent. Product has chain in reference image; verify category if pendant only.</t>
  </si>
  <si>
    <t>P071</t>
  </si>
  <si>
    <t>Round Necklace</t>
  </si>
  <si>
    <t>Uploaded image P071.jpg</t>
  </si>
  <si>
    <t>18KT gold wt 26.90g, 14KT gold wt 23.00g. Round diamonds 2.00x2.00mm 39pcs 1.16ct and 2.20x2.20mm 103pcs 4.11ct. Total 142 pcs, 5.27ct. Enamel/colour details need check.</t>
  </si>
  <si>
    <t>P072</t>
  </si>
  <si>
    <t>Ring size 5</t>
  </si>
  <si>
    <t>Uploaded image P072.jpg</t>
  </si>
  <si>
    <t>Table shows diamond oval 9.10x6.60x4.30 1 pc and diamond round 1.50x1.50x0.90 14 pcs. Gold wt and stone weights not visible. Blue render needs manual verification as diamond vs colour stone.</t>
  </si>
  <si>
    <t>P073</t>
  </si>
  <si>
    <t>Ring size IND-12</t>
  </si>
  <si>
    <t>Uploaded image P073.jpeg</t>
  </si>
  <si>
    <t>18KT gold wt 5.30g. Main visible table total gem weight 2.40ct, count 77. Rounds: 1.50 10pcs 0.13ct, 1.60 4pcs 0.06ct, 1.40 2pcs 0.021ct, 1.30 4pcs 0.033ct, 1.10 40pcs 0.20ct, 1.20 16pcs 0.10ct. Oval 9.85x7.23 1pc 1.85ct. Image also has customer reference/right variant gold wt 5.5g ring size 12; verify final design.</t>
  </si>
  <si>
    <t>P074</t>
  </si>
  <si>
    <t>Top height 7.63 mm, band 2.16 mm</t>
  </si>
  <si>
    <t>Uploaded image P074.jpg</t>
  </si>
  <si>
    <t>Green colour stone wt not visible</t>
  </si>
  <si>
    <t>14KT gold wt 2.70g, 18KT gold wt 3.10g. Round diamonds 1.40mm 18pcs 0.18ct. Heart diamonds 3.50x3.50mm 7pcs 1.06ct. Green side stones visible but count/wt not listed; verify colourstone data.</t>
  </si>
  <si>
    <t>P075</t>
  </si>
  <si>
    <t>P076</t>
  </si>
  <si>
    <t>Uploaded image P076.jpg</t>
  </si>
  <si>
    <t>14KT gold wt 4.70g. Round 1.80mm 7pcs 0.15ct; Marquise 5.00x2.50mm 6pcs 0.76ct; Pear 4.50x3.00mm 4pcs 0.66ct, 4.00x2.50mm 8pcs 0.81ct, 5.00x3.00mm 2pcs 0.36ct. Total diamond 27pcs, 2.74ct.</t>
  </si>
  <si>
    <t>P077</t>
  </si>
  <si>
    <t>No separate P077 image uploaded in this batch</t>
  </si>
  <si>
    <t>P077 not uploaded as a separate clear image. Do not fill until image is shared.</t>
  </si>
  <si>
    <t>P078</t>
  </si>
  <si>
    <t>Center stone 5.75x5.75 mm</t>
  </si>
  <si>
    <t>Uploaded image P078.jpg</t>
  </si>
  <si>
    <t>Center stone wt not visible</t>
  </si>
  <si>
    <t>14KT gold wt 3.50g. Center stone 5.75x5.75mm. Round diamonds: 1.00mm 12pcs 0.045ct, 1.90mm 6pcs 0.15ct, 1.80mm 12pcs 0.26ct, 1.70mm 6pcs 0.11ct, 1.60mm 8pcs 0.12ct, 1.50mm 4pcs 0.05ct, 1.40mm 4pcs 0.041ct, 1.30mm 4pcs 0.033ct. Verify total qty because table rows total 56, not including center stone.</t>
  </si>
  <si>
    <t>P079</t>
  </si>
  <si>
    <t>10.05 mm top height, band 6.49 mm</t>
  </si>
  <si>
    <t>Uploaded image P079.jpg</t>
  </si>
  <si>
    <t>Emerald center 7.00x5.00x7.5 diag x3.20 1pc; rounds 1.30mm 8pcs, 1.40mm 9pcs, 1.00mm 26pcs; princess 2.50mm 21pcs. Total listed stones 65pcs. Gold wt and stone wt not visible.</t>
  </si>
  <si>
    <t>P080</t>
  </si>
  <si>
    <t>Delicate Bracelet</t>
  </si>
  <si>
    <t>8.00 mm height, 19.30 mm width, 4.70 mm depth</t>
  </si>
  <si>
    <t>Uploaded image P080.jpeg</t>
  </si>
  <si>
    <t>14KT gold wt 1.00g, 18KT gold wt 1.20g. Round diamonds 1.10mm 32pcs 0.16ct and 4.00mm 2pcs 0.50ct. Total 34pcs, 0.66ct.</t>
  </si>
  <si>
    <t>P081</t>
  </si>
  <si>
    <t>Width 5.71 mm, height 3.92 mm, band 1.70 mm</t>
  </si>
  <si>
    <t>Uploaded image P081.jpg</t>
  </si>
  <si>
    <t>14KT gold wt 4.80g. Emerald 5.00x3.00mm 1pc 0.76ct; round 1.00mm 32pcs 0.12ct. Total visible stones 33pcs, 0.88ct.</t>
  </si>
  <si>
    <t>P082</t>
  </si>
  <si>
    <t>Width 5.35 mm, height 3.90 mm, band 1.70 mm</t>
  </si>
  <si>
    <t>Uploaded image P082.jpg</t>
  </si>
  <si>
    <t>14KT gold wt 5.90g. Round 1.00mm 48pcs 0.18ct; pear 5.00x3.00mm 1pc 0.17ct. Total 49pcs, 0.35ct.</t>
  </si>
  <si>
    <t>P083</t>
  </si>
  <si>
    <t>Width 5.65 mm, height 3.40 mm, band 1.70 mm</t>
  </si>
  <si>
    <t>Uploaded image P083.jpg</t>
  </si>
  <si>
    <t>14KT gold wt 5.90g. Round 1.00mm 48pcs 0.18ct; round 4.00mm 1pc 0.24ct. Total 49pcs, 0.42ct.</t>
  </si>
  <si>
    <t>P084</t>
  </si>
  <si>
    <t>Uploaded image P084.jpg</t>
  </si>
  <si>
    <t>Colour stone wt not visible</t>
  </si>
  <si>
    <t>18KT approx gold wt 15.00g, 14KT approx gold wt 14.00g. Round 2.20mm 18pcs 0.855ct. Heart stones 12.00x12.00mm 1pc and 7.00x7.00mm 1pc. Marquise 6.00x3.00mm 20pcs. Total diamond count in table 40; setting prong.</t>
  </si>
  <si>
    <t>P085</t>
  </si>
  <si>
    <t>31 mm length</t>
  </si>
  <si>
    <t>Uploaded image P085.jpg</t>
  </si>
  <si>
    <t>Round diamonds total 54pcs, 0.404ct: 0.80mm 11pcs 0.022ct, 0.90mm 4pcs 0.012ct, 1.00mm 9pcs 0.036ct, 1.10mm 6pcs 0.036ct, 1.20mm 7pcs 0.056ct, 1.30mm 6pcs 0.06ct, 1.40mm 2pcs 0.024ct, 1.50mm 3pcs 0.042ct, 1.60mm 4pcs 0.072ct, 1.70mm 2pcs 0.044ct. Pear 8.00x6.00mm 1pc. Gold wt not visible.</t>
  </si>
  <si>
    <t>P086</t>
  </si>
  <si>
    <t>23.00 mm length</t>
  </si>
  <si>
    <t>Uploaded image P086.jpg</t>
  </si>
  <si>
    <t>Round diamonds total 94pcs, 0.443ct: 0.80mm 42pcs 0.126ct, 0.90mm 16pcs 0.064ct, 1.00mm 12pcs 0.060ct, 1.10mm 8pcs 0.053ct, 1.20mm 8pcs 0.067ct, 1.25mm 6pcs 0.053ct, 1.30mm 2pcs 0.020ct. Pear 6.50x4.50mm 2pcs. Gold wt not visible.</t>
  </si>
  <si>
    <t>P087</t>
  </si>
  <si>
    <t xml:space="preserve">Solitaire Ring </t>
  </si>
  <si>
    <t>IND-22, 8.10 mm top width, 5.20 mm head height, band 3.53 mm</t>
  </si>
  <si>
    <t>Uploaded image P087.jpg</t>
  </si>
  <si>
    <t>14KT gold wt 6.00g. Center round 6.00mm, likely 1pc. Diamond/stone weight not visible.</t>
  </si>
  <si>
    <t>P088</t>
  </si>
  <si>
    <t>Tennis Necklace</t>
  </si>
  <si>
    <t>4.50 inch diameter/length marking, motif 4.10 mm, height 3.50 mm</t>
  </si>
  <si>
    <t>Uploaded image P088.jpeg</t>
  </si>
  <si>
    <t>14KT gold wt 20.80g, 18KT gold wt 23.70g. Round diamonds 3.60x3.60mm 35pcs 7.59ct.</t>
  </si>
  <si>
    <t>P089</t>
  </si>
  <si>
    <t>Daily Oval Bracelet</t>
  </si>
  <si>
    <t>Top width 3.20 mm; bangle shape/dimensions need manual check</t>
  </si>
  <si>
    <t>Uploaded image P089.jpg</t>
  </si>
  <si>
    <t>14KT gold wt 10.50g, 18KT gold wt 12.00g. Round diamonds 1.20x1.20mm 48pcs and 2.70x2.70mm 25pcs. Diamond total wt partly cut/not visible; verify manually.</t>
  </si>
  <si>
    <t>P090</t>
  </si>
  <si>
    <t>US-6.50/13, 9.00 mm top, 8.00 mm head height, band 1.60 mm</t>
  </si>
  <si>
    <t>Uploaded image P090.jpg</t>
  </si>
  <si>
    <t>18KT approx gold wt 2.75g, 14KT approx gold wt 2.50g. Round 1.00mm 16pcs 0.080ct, setting micro. Oval 9.00x7.00mm 1pc 2.000ct, setting prong. Total 17pcs, 2.080ct.</t>
  </si>
  <si>
    <t>P091</t>
  </si>
  <si>
    <t>IND-12, top height 11.90 mm, head height 8.60 mm, band 2.00 mm</t>
  </si>
  <si>
    <t>Uploaded images P091.jpg and P091 SZ-12.jpg</t>
  </si>
  <si>
    <t>Final red-border P091 used. Ring 14KT 4.80g, 18KT 5.50g. Band 14KT 3.00g, 18KT 3.40g. Round diamonds 8.00x8.00mm 1pc 1.92ct and 1.40x1.40mm 25pcs 0.26ct. Total gem count 26, total weight 2.18ct. Earlier CAD parameter image shows alternate weights 18KT 7.20g / 14KT 6.50g / 10KT 5.50g; verify if needed.</t>
  </si>
  <si>
    <t>P092</t>
  </si>
  <si>
    <t>7.25 mm center stone, height 6.18 mm</t>
  </si>
  <si>
    <t>Uploaded image P092.jpg</t>
  </si>
  <si>
    <t>Center stone 7.25mm. 14KT gold wt 1.25g, 18KT gold wt 1.45g. Likely 2 center stones for pair; stone weight not visible.</t>
  </si>
  <si>
    <t>P093</t>
  </si>
  <si>
    <t>6.00 mm center stone, height 5.10 mm</t>
  </si>
  <si>
    <t>Uploaded image P093.jpg</t>
  </si>
  <si>
    <t>Center stone 6.00mm. 14KT gold wt 0.90g, 18KT gold wt 1.00g. Likely 2 center stones for pair; stone weight not visible.</t>
  </si>
  <si>
    <t>P094</t>
  </si>
  <si>
    <t>19.00 mm length, 6.50 mm height</t>
  </si>
  <si>
    <t>Uploaded image P094.jpg</t>
  </si>
  <si>
    <t>14KT gold wt 3.50g, 18KT gold wt 4.30g. Round diamonds 0.80mm 86pcs 0.258ct and 0.90mm 92pcs 0.322ct. Total 178pcs, 0.58ct. Fancy stones: MQ 4.50x2.00mm 8pcs; Pear 5.30x3.50mm 2pcs; Pear 3.00x2.00mm 8pcs.</t>
  </si>
  <si>
    <t>P095</t>
  </si>
  <si>
    <t>Bypass Ring</t>
  </si>
  <si>
    <t>IND 12, top height 19.30 mm, head height 4.60 mm, band 3.20 mm</t>
  </si>
  <si>
    <t>Uploaded image P095.jpg</t>
  </si>
  <si>
    <t>18KT approx gold wt 6.50g, 14KT approx gold wt 5.70g. MQ 11.00x5.50mm 2pcs. Round diamonds 1.30mm 42pcs 0.420ct. Colour stone round 1.30mm 20pcs 0.420ct. Setting: MQ prong, rounds micro.</t>
  </si>
  <si>
    <t>P096</t>
  </si>
  <si>
    <t>14.28 x 20.93 mm, height 6.97 mm</t>
  </si>
  <si>
    <t>Uploaded image P096.jpg</t>
  </si>
  <si>
    <t>Oval wt not visible</t>
  </si>
  <si>
    <t>14KT final wt 3.39g, 18KT final wt 3.86g. Round diamonds 1.20mm 28pcs 0.196ct, micro prong. Oval 4.50x3.00mm 3pcs, prong setting; wt not visible.</t>
  </si>
  <si>
    <t>P097</t>
  </si>
  <si>
    <t>11.32 x 16.60 mm, height 5.05 mm</t>
  </si>
  <si>
    <t>Uploaded image P097.jpg</t>
  </si>
  <si>
    <t>14KT final wt 3.69g, 18KT final wt 4.20g. Round diamonds 1.00mm 48pcs 0.192ct, micro. Oval 4.00x3.00mm 6pcs, prong; wt not visible.</t>
  </si>
  <si>
    <t>P098</t>
  </si>
  <si>
    <t>21.23 x 21.45 mm, height 13.68 mm</t>
  </si>
  <si>
    <t>Uploaded image P098.png</t>
  </si>
  <si>
    <t>Stone wt not visible</t>
  </si>
  <si>
    <t>Pearl wt not visible</t>
  </si>
  <si>
    <t>14KT gold wt 3.94g, 18KT gold wt 4.50g. Pear 5.00x3.00mm 12pcs, prong. MQ/Marquise 5.00x2.50mm 12pcs, prong. Pearl/center wt not visible.</t>
  </si>
  <si>
    <t>P099</t>
  </si>
  <si>
    <t>daily wear Bracelet</t>
  </si>
  <si>
    <t>Top width 8.00 mm, opening/head 4.20 mm, side width 3.00 mm</t>
  </si>
  <si>
    <t>Uploaded image P099.png</t>
  </si>
  <si>
    <t>Radiant wt not visible</t>
  </si>
  <si>
    <t>18KT approx gold wt 9.00g. Round diamonds: 1.00mm 138pcs 0.690ct, 1.20mm 2pcs 0.017ct, 1.40mm 2pcs 0.025ct, 1.50mm 2pcs 0.033ct. Total diamond 148pcs, 0.765ct. Radiant 6.00x4.00mm 2pcs and 3.50x2.50mm 2pcs; wt not visible.</t>
  </si>
  <si>
    <t>P0100</t>
  </si>
  <si>
    <t>Uploaded image P0100.jpg</t>
  </si>
  <si>
    <t>Colour/fancy wt included in table</t>
  </si>
  <si>
    <t>18KT approx gold wt 40.00g. Table total diamond 380pcs, 9.674ct. Visible rows include rounds 0.80/0.90/1.00/1.10/1.20/2.00/3.00mm and pear 4.50x3.00mm plus pear 4.00x2.50mm; verify small table manually if exact row split needed.</t>
  </si>
  <si>
    <t>P0101</t>
  </si>
  <si>
    <t>12.50 mm length, 4.90 mm height</t>
  </si>
  <si>
    <t>Uploaded image P0101.jpg</t>
  </si>
  <si>
    <t>18KT approx gold wt 2.45g, 14KT approx gold wt 2.20g. Round: 0.80mm 48pcs 0.144ct, 1.50mm 8pcs 0.134ct, 2.00mm 2pcs 0.074ct. Pear 3.00x2.00mm 16pcs 0.080ct. Total 74pcs, 0.432ct.</t>
  </si>
  <si>
    <t>P0102</t>
  </si>
  <si>
    <t>13.20 mm length</t>
  </si>
  <si>
    <t>Uploaded image P0102</t>
  </si>
  <si>
    <t>Emerald square wt not visible</t>
  </si>
  <si>
    <t>14KT approx gold wt 2.35g; 10KT approx gold wt 2.60g also listed. Round 0.80mm 56pcs 0.168ct. Emerald square 5.00x5.00mm 2pcs. Marquise 3.75x1.85mm 8pcs 0.400ct and 4.50x2.30mm 8pcs 0.800ct. Table total 74pcs, 1.368ct.</t>
  </si>
  <si>
    <t>P0103</t>
  </si>
  <si>
    <t>Uploaded image P0103.jpeg</t>
  </si>
  <si>
    <t>18KT approx gold wt 4.70g, 14KT approx gold wt 4.10g. Round 0.80mm 154pcs 0.462ct and 6.00mm 2pcs 1.500ct. Total 156pcs, 1.962ct.</t>
  </si>
  <si>
    <t>P0104</t>
  </si>
  <si>
    <t>8.90 mm top width, 4.00 mm height, band 4.30 mm</t>
  </si>
  <si>
    <t>Uploaded image P0104.png</t>
  </si>
  <si>
    <t>18KT approx gold wt 5.00g, 14KT approx gold wt 4.50g. Pear 3.10x2.00mm 12pcs 0.600ct; Marquise 4.50x2.50mm 1pc 0.120ct. Total 13pcs, 0.720ct.</t>
  </si>
  <si>
    <t>P0105</t>
  </si>
  <si>
    <t>Fancy Bracelet</t>
  </si>
  <si>
    <t>56.40 mm length, 9.10 mm top height, 4.70 mm head height, 3.00 mm band</t>
  </si>
  <si>
    <t>Uploaded image P0105.jpg</t>
  </si>
  <si>
    <t>14KT gold wt 9.90g, 18KT gold wt 10.90g. Colour/fancy stones: Pear 4.00x3.00mm 4pcs, 4.50x3.00mm 2pcs, 5.00x3.00mm 2pcs, 5.50x3.50mm 2pcs, 6.00x4.00mm 2pcs; Heart 6.00x6.00mm 1pc. Total 13pcs, prong. Stone wt not visible.</t>
  </si>
  <si>
    <t>P0106</t>
  </si>
  <si>
    <t>50.40 mm top length, 5.10 mm head height, 3.10 mm band, 2.2 aani</t>
  </si>
  <si>
    <t>Uploaded image P0106.jpg</t>
  </si>
  <si>
    <t>14KT gold wt 9.80g, 18KT 11.20g, 22KT 13.80g. MQ 5.00x2.50mm 2pcs, MQ 4.50x2.50mm 10pcs, Pear 5.00x3.00mm 6pcs, Pear 4.50x3.00mm 2pcs, Round 2.50mm 4pcs, Round 2.70mm 2pcs, Round 3.00mm 1pc; all prong. Stone wt not visible.</t>
  </si>
  <si>
    <t>P0107</t>
  </si>
  <si>
    <t>Bangle</t>
  </si>
  <si>
    <t>17.92 mm top height, 8.15 mm head height, 2.90 mm band, 2.2 anni</t>
  </si>
  <si>
    <t>Uploaded image P0107.png</t>
  </si>
  <si>
    <t>14KT gold wt 13.15g, 18KT gold wt 14.99g. Round stones: 1.00mm 5pcs, 1.10mm 3pcs, 1.20mm 9pcs, 1.30mm 8pcs, 1.35mm 1pc, 1.40mm 5pcs, 1.45mm 1pc, 1.50mm 12pcs, 1.60mm 1pc, 1.65mm 1pc, 1.70mm 8pcs, 1.80mm 1pc, 1.90mm 1pc, 2.00mm 2pcs, 2.10mm 2pcs, 2.20mm 2pcs, 2.30mm 28pcs. All prong. Total 90pcs by visible table.</t>
  </si>
  <si>
    <t>P0108</t>
  </si>
  <si>
    <t>5.10 mm top height, 3.50 mm head height, 3.00 mm band, 2.2 anni</t>
  </si>
  <si>
    <t>Uploaded image P0108.png</t>
  </si>
  <si>
    <t>14KT gold wt 7.32g, 18KT gold wt 8.34g. Pear stones: 6.00x4.00mm 2pcs, 5.50x3.50mm 2pcs, 5.00x3.00mm 4pcs, 4.50x3.00mm 4pcs. Total 12pcs, prong. Stone wt not visible.</t>
  </si>
  <si>
    <t>P0109</t>
  </si>
  <si>
    <t>Uploaded image P0109.jpg</t>
  </si>
  <si>
    <t>14KT approx gold wt 21g, 18KT approx gold wt 24g. MQ 6.00x3.00mm 2pcs, MQ 5.00x2.50mm 47pcs, Pear 4.00x2.50mm 71pcs, EMB 5.00x3.00mm 4pcs, EMB 4.00x2.50mm 13pcs, Round 3.00mm 2pcs. Total 139pcs, prong. Stone wt not visible.</t>
  </si>
  <si>
    <t>P0110</t>
  </si>
  <si>
    <t>Uploaded image P0110.jpg</t>
  </si>
  <si>
    <t>18KT approx gold wt 4.44g, 14KT approx gold wt 3.99g. Diamond rows: round 0.80mm 2pcs 0.006ct, 0.90mm 8pcs 0.032ct, 1.00mm 10pcs 0.050ct, 1.20mm 4pcs 0.034ct, 2.00mm 8pcs 0.296ct, 3.00mm 2pcs 0.220ct; pear 4.50x3.00mm 4pcs 0.600ct, pear 4.00x2.50mm 2pcs 0.200ct. CS pear 7.00x5.00mm 2pcs and 6.00x4.00mm 2pcs. Total diamond 44pcs, 1.438ct.</t>
  </si>
  <si>
    <t>P0111</t>
  </si>
  <si>
    <t>Cocktail Earrings</t>
  </si>
  <si>
    <t>Uploaded image P0111.jpg</t>
  </si>
  <si>
    <t>Cushion wt not visible</t>
  </si>
  <si>
    <t>18KT approx gold wt 2.60g, 14KT approx gold wt 2.30g. Round 1.10mm 2pcs 0.013ct, 1.20mm 4pcs 0.034ct, 1.30mm 2pcs 0.020ct, 1.40mm 8pcs 0.098ct, 1.50mm 10pcs 0.167ct. MQ 3.50x1.75mm 12pcs 0.480ct. Cushion 3.50mm 2pcs. Total diamond 40pcs, 0.812ct.</t>
  </si>
  <si>
    <t>P0112</t>
  </si>
  <si>
    <t>18.20 mm top height, ring inner 16.50 mm, band 8.80/3.00 mm</t>
  </si>
  <si>
    <t>Uploaded image P0112.jpeg</t>
  </si>
  <si>
    <t>14KT gold wt 8.55g, 18KT gold wt 9.75g, 24KT gold wt 12.18g. Diamond rows: round 1.00mm 66pcs 0.264ct, round 1.10mm 58pcs 0.290ct; pear 3x2mm 1pc and EMB 7x5mm 1pc. Diamond total 126pcs, 0.554ct. Colour stones: round 1.00mm 12pcs, 1.10mm 13pcs, 1.20mm 67pcs, 1.30mm 33pcs, 1.40mm 5pcs.</t>
  </si>
  <si>
    <t>P0113</t>
  </si>
  <si>
    <t>Collar Necklace</t>
  </si>
  <si>
    <t>Uploaded image P0113.jpg</t>
  </si>
  <si>
    <t>14KT approx gold wt 20g, 18KT approx gold wt 22g. Round 0.80mm 14pcs 0.042ct, 0.90mm 4pcs 0.016ct, 1.00mm 8pcs 0.040ct, 1.10mm 4pcs 0.026ct, 1.20mm 6pcs 0.050ct, 1.30mm 8pcs 0.080ct, 1.40mm 132pcs 1.624ct, 1.50mm 4pcs 0.067ct. Pear 8.50x7.50mm 2pcs 2.000ct. Total 182pcs, 3.945ct.</t>
  </si>
  <si>
    <t>P0114</t>
  </si>
  <si>
    <t>20.00 mm length, 7.00 mm height</t>
  </si>
  <si>
    <t>Uploaded image P0114.jpg</t>
  </si>
  <si>
    <t>18KT approx gold wt 3.70g, 14KT approx gold wt 3.30g. MQ 4.00x2.00mm 14pcs 0.980ct. Pear 3.80x2.50mm 12pcs 0.120ct. Total 26pcs, 1.100ct. Pearl wt not visible.</t>
  </si>
  <si>
    <t>P0115</t>
  </si>
  <si>
    <t>23.00 x 28.30 mm, 6.20 mm height</t>
  </si>
  <si>
    <t>Uploaded image P0115.jpg</t>
  </si>
  <si>
    <t>Cushion/pear wt not visible</t>
  </si>
  <si>
    <t>14KT gold wt 3.30g, 18KT gold wt 3.80g. Round diamonds visible: 1.00mm 32pcs 0.128ct, 1.70mm 2pcs 0.0422ct, 1.80mm 5pcs 0.1285ct, 2.00mm 2pcs 0.0694ct. Pear 3.70x2.70mm 2pcs, 3.40x2.40mm 4pcs, 3.20x2.20mm 7pcs. Cushion 5.50x5.50mm 1pc. Table total shown 54pcs but total wt line appears 0.00ct, so verify manually.</t>
  </si>
  <si>
    <t>P0116</t>
  </si>
  <si>
    <t>No separate P0116 image uploaded in this batch</t>
  </si>
  <si>
    <t>P0116 not uploaded as a separate clear image. Do not fill until image is shared.</t>
  </si>
  <si>
    <t>P0117</t>
  </si>
  <si>
    <t>8.00 mm top, 6.80 mm height, 2.00 mm band, 1.95 mm shank</t>
  </si>
  <si>
    <t>Uploaded image P0117.jpg</t>
  </si>
  <si>
    <t>18KT approx gold wt 3.20g, 14KT approx gold wt 2.90g. Round diamonds: 1.50mm 12pcs 0.200ct, 1.70mm 18pcs 0.396ct, 8.00mm 1pc 2.000ct. Total 31pcs, 2.596ct.</t>
  </si>
  <si>
    <t>P0118</t>
  </si>
  <si>
    <t>8.80 mm top, 4.70 mm height, 2.21 mm band, 1.90 mm shank</t>
  </si>
  <si>
    <t>Uploaded image P0118.jpg</t>
  </si>
  <si>
    <t>14KT gold wt 3.00g, 18KT gold wt 3.30g. Pear 7.00x5.00mm 1pc and Oval 8.50x6.50mm 1pc. Stone wt not visible.</t>
  </si>
  <si>
    <t>P0119</t>
  </si>
  <si>
    <t>11.70 mm top, 6.00 mm height, 3.30 mm band, size 12</t>
  </si>
  <si>
    <t>Uploaded image P0119.png</t>
  </si>
  <si>
    <t>12</t>
  </si>
  <si>
    <t>18KT approx gold wt 4.00g, 14KT approx gold wt 3.60g. Round diamonds: 1.10mm 8pcs 0.053ct, 1.20mm 16pcs 0.134ct, 1.30mm 6pcs 0.060ct, 1.40mm 18pcs 0.221ct. Oval 7.00x5.00mm 1pc, wt not visible. Table total 49pcs, 0.469ct.</t>
  </si>
  <si>
    <t>P0120</t>
  </si>
  <si>
    <t>Uploaded image P0120.jpg</t>
  </si>
  <si>
    <t>Colour/fancy wt not visible</t>
  </si>
  <si>
    <t>18KT approx gold wt 7.50g, 14KT approx gold wt 7.00g. Round 4.00mm 2pcs 0.500ct. Fancy stones: pear 6.00x4.00mm 2pcs, marquise 8.00x4.00mm 3pcs, emerald 6.00x4.00mm 2pcs, oval 6.00x4.00mm 2pcs. Total table 11pcs, 0.500ct.</t>
  </si>
  <si>
    <t>P0121</t>
  </si>
  <si>
    <t>20.96 mm top, 10.07 mm height, 3.37 mm band</t>
  </si>
  <si>
    <t>Uploaded image P0121.jpeg</t>
  </si>
  <si>
    <t>Gold wt not visible. Colour stone box: cushion 7.50x7.50mm 1pc 2.45ct, round 1.80mm 28pcs 0.61ct. Diamond box: marquise 3.50x1.75mm 48pcs 1.68ct. Total counted stones 77pcs; diamond+round wt 2.29ct, plus cushion colour stone 2.45ct.</t>
  </si>
  <si>
    <t>P0122</t>
  </si>
  <si>
    <t>Uploaded image P0122.jpg</t>
  </si>
  <si>
    <t>Colour pear wt not visible</t>
  </si>
  <si>
    <t>18KT approx gold wt 4.50g, 14KT approx gold wt 4.00g. Pear 4.50x3.00mm 4pcs 0.600ct, pear 5.50x3.50mm 1pc 0.250ct, pear 5.00x3.20mm 5pcs 1.000ct, marquise 4.60x2.30mm 8pcs 0.800ct. CS pear 7.00x5.00mm 1pc wt not visible. Table total diamond 19pcs, 2.650ct.</t>
  </si>
  <si>
    <t>P0123</t>
  </si>
  <si>
    <t>14.20 mm top, 7.80 mm height, 3.20 mm band, size 12</t>
  </si>
  <si>
    <t>Uploaded image P0123.jpeg</t>
  </si>
  <si>
    <t>Gold wt not visible. Gem reporter total gem wt 2.82ct, count 145. Round diamonds: 1.20mm 131pcs 0.85ct, 1.00mm 13pcs 0.049ct, 8.00mm 1pc 1.92ct.</t>
  </si>
  <si>
    <t>P0124</t>
  </si>
  <si>
    <t>18.30 mm top, 5.50 mm height, 3.70 mm band, IND-12</t>
  </si>
  <si>
    <t>Uploaded image P0124.jpeg</t>
  </si>
  <si>
    <t>Colour stone wt in remarks</t>
  </si>
  <si>
    <t>18KT gold wt 6.60g. Diamond box: cushion square 6.50x8.00mm 1pc 2.04ct and round 2.50x2.50mm 19pcs 1.12ct. Colour-stone table also shows many round sizes 1.00-2.40mm; exact count/total needs manual check due small text.</t>
  </si>
  <si>
    <t>P0125</t>
  </si>
  <si>
    <t>17.50 mm top, 2.20 mm band, IND-12</t>
  </si>
  <si>
    <t>Uploaded image P0125.jpeg</t>
  </si>
  <si>
    <t>18KT gold wt 6.50g. Round: 1.20mm 54pcs 0.35ct, 2.60mm 5pcs 0.30ct, 2.80mm 1pc 0.08ct, 2.40mm 2pcs 0.10ct. Oval: 4.50x3.30mm 3pcs 0.56ct, 5.00x3.70mm 1pc 0.26ct, 5.30x3.70mm 2pcs 0.56ct, 4.00x2.80mm 3pcs 0.36ct. Pear: 3.20x2.00mm 1pc 0.046ct, 4.30x2.60mm 1pc 0.10ct, 4.00x2.50mm 1pc 0.09ct. Total counted 75pcs, 2.806ct.</t>
  </si>
  <si>
    <t>P0126</t>
  </si>
  <si>
    <t>2.20 ana, lozenge blunt 3x5 mm noted</t>
  </si>
  <si>
    <t>Uploaded image P0126.jpg</t>
  </si>
  <si>
    <t>18KT approx gold wt 9.50g, 14KT approx gold wt 10.50g. Pear colour stones 2.50x1.50mm 32pcs. Lozenge blunt 3.00x5.00mm x17pcs also noted in image. Stone wt not visible.</t>
  </si>
  <si>
    <t>P0127</t>
  </si>
  <si>
    <t>13.47 mm top height, 4.24 mm head, 3.00 mm band, 2.2 ana</t>
  </si>
  <si>
    <t>Uploaded image P0127.jpeg</t>
  </si>
  <si>
    <t>14KT gold wt 9.30g. Round diamonds listed: 0.90mm 10pcs, 1.00mm 13pcs, 1.10mm 29pcs, 1.15mm 1pc, 1.20mm 40pcs, 1.30mm 38pcs, 1.35mm 1pc, 1.40mm 12pcs, 1.80mm 6pcs. Pear sizes: 3x2mm 3pcs and 4x3mm 1pc. Exact total wt not visible.</t>
  </si>
  <si>
    <t>P0128</t>
  </si>
  <si>
    <t>55.00 mm length</t>
  </si>
  <si>
    <t>Uploaded image P0128.png</t>
  </si>
  <si>
    <t>18KT approx gold wt 12.00g, 14KT approx gold wt 11.00g. Round 2.70mm 36pcs 2.880ct. Marquise 5.00x2.50mm 12pcs 1.440ct and 4.00x2.00mm 20pcs 1.400ct. Oval 5.00x4.00mm 2pcs 0.560ct and 4.00x3.00mm 8pcs 1.040ct. Total 78pcs, 7.320ct.</t>
  </si>
  <si>
    <t>P0129</t>
  </si>
  <si>
    <t xml:space="preserve"> Bangle</t>
  </si>
  <si>
    <t>2.30 ana, 6.40 mm top height, 4.94 mm top width</t>
  </si>
  <si>
    <t>Uploaded image P0129.jpeg</t>
  </si>
  <si>
    <t>14KT gold wt 18.50g. Pear 4.80x3.00mm 44pcs, total 7.03ct. Bangle size 2.3 ana. 18KT weight not visible.</t>
  </si>
  <si>
    <t>P0130</t>
  </si>
  <si>
    <t>Single Line Necklace</t>
  </si>
  <si>
    <t>16 inch</t>
  </si>
  <si>
    <t>Uploaded image P0130.jpg</t>
  </si>
  <si>
    <t>Includes CS pear</t>
  </si>
  <si>
    <t>18KT approx gold wt 17.50g, 14KT approx gold wt 15.80g. Oval 6.00x4.00mm 1pc 0.400ct; CS pear 7.80x5.00mm 1pc 0.700ct; pear 5.00x3.20mm 12pcs 2.400ct; pear 4.50x3.00mm 18pcs 2.700ct; pear 3.80x2.50mm 28pcs 2.800ct. Total 60pcs, 9.000ct.</t>
  </si>
  <si>
    <t>P0131</t>
  </si>
  <si>
    <t>17.40 mm top width, 13.40 mm top height, 4.10 mm side, 2.2 aani</t>
  </si>
  <si>
    <t>Uploaded image P0131.jpg</t>
  </si>
  <si>
    <t>Table total shows 0.00ct</t>
  </si>
  <si>
    <t>Fancy stone wt not visible</t>
  </si>
  <si>
    <t>14KT gold wt 11.00g, 18KT gold wt 12.00g. Round diamonds: 1.10mm 7pcs 0.035ct, 1.20mm 4pcs 0.028ct, 1.30mm 4pcs 0.040ct, 1.40mm 7pcs 0.0875ct, 1.50mm 1pc 0.0145ct, 1.60mm 2pcs 0.037ct, 1.70mm 2pcs 0.0422ct, 1.80mm 2pcs 0.0514ct, 1.90mm 26pcs 0.7956ct; marquise 10x5mm 1pc and pear 9x6mm 1pc. Table total line says 0.00ct, verify manually.</t>
  </si>
  <si>
    <t>P0132</t>
  </si>
  <si>
    <t>Uploaded image P0132.jpg</t>
  </si>
  <si>
    <t>18KT approx gold wt 1.40g, 14KT approx gold wt 1.25g. Diamond/stone rows: round 2.00mm 3pcs 0.111ct, pear 3.00x2.00mm 4pcs 0.000ct, colour pear 10.00x7.00mm 1pc 0.820ct, marquise 3.50x1.70mm 1pc 0.890ct. Total 9pcs, 1.821ct.</t>
  </si>
  <si>
    <t>P0133</t>
  </si>
  <si>
    <t>Cocktail Ring</t>
  </si>
  <si>
    <t>23.54 mm top, 2.97 mm band, IND-12</t>
  </si>
  <si>
    <t>Uploaded image P0133.jpeg</t>
  </si>
  <si>
    <t>18KT gold wt 6.40g. Pear 4.20x2.80mm 12pcs 1.36ct. Marquise 4.00x2.00mm 16pcs 0.89ct and 5.00x2.50mm 1pc 0.09ct. Round 1.00x1.00mm 82pcs 0.31ct. Total counted 111pcs, 2.65ct.</t>
  </si>
  <si>
    <t>P0134</t>
  </si>
  <si>
    <t>Uploaded image P0134.jpg</t>
  </si>
  <si>
    <t>18KT approx gold wt 8.40g, 14KT approx gold wt 7.50g. Round 2.20mm 7pcs 0.333ct, round 3.00mm 1pc 0.110ct. Pear 3.80x2.50mm 14pcs, pear 3.10x2.00mm 7pcs, marquise 3.50x1.75mm 7pcs, CS pear 5.50x3.50mm 7pcs. Table total 43pcs, 0.443ct.</t>
  </si>
  <si>
    <t>P0135</t>
  </si>
  <si>
    <t>17.00 x 17.00 mm top, ID-12</t>
  </si>
  <si>
    <t>Uploaded image P0135.jpeg</t>
  </si>
  <si>
    <t>Heart stones</t>
  </si>
  <si>
    <t>18KT gold wt 4.00g. Heart diamonds/stones: 5.00x5.00mm 2pcs 0.88ct, 4.00x4.00mm 2pcs 0.45ct, 6.00x6.00mm 2pcs 1.53ct. Total 6pcs, 2.86ct.</t>
  </si>
  <si>
    <t>P0136</t>
  </si>
  <si>
    <t>11 mm top height, 2.2 ANI</t>
  </si>
  <si>
    <t>Uploaded image P0136.jpg</t>
  </si>
  <si>
    <t>Includes colour/fancy stones</t>
  </si>
  <si>
    <t>Expected 18KT gold wt 7.00g. Stones: round 1.00mm 18pcs 0.090ct, 1.10mm 14pcs 0.084ct, 1.20mm 15pcs 0.120ct, 1.30mm 24pcs 0.240ct; oval 6x4mm 2pcs 1.000ct, oval 5x3.5mm 1pc 0.250ct, oval 4x3mm 1pc 0.150ct; marquise 5x3mm 1pc 0.200ct, 5x2.5mm 1pc 0.140ct, 4x2mm 1pc 0.100ct, 6x3mm 1pc 0.250ct. Total 79pcs, 2.624ct.</t>
  </si>
  <si>
    <t>P0137</t>
  </si>
  <si>
    <t>13.00 mm; height 5.50 mm</t>
  </si>
  <si>
    <t>P0138</t>
  </si>
  <si>
    <t>Cocktail Bracelet</t>
  </si>
  <si>
    <t>P0139</t>
  </si>
  <si>
    <t>P0140</t>
  </si>
  <si>
    <t>12.00 mm</t>
  </si>
  <si>
    <t>P0141</t>
  </si>
  <si>
    <t>2.2 anni</t>
  </si>
  <si>
    <t>P0142</t>
  </si>
  <si>
    <t>P0143</t>
  </si>
  <si>
    <t>P0144</t>
  </si>
  <si>
    <t>12.10 mm</t>
  </si>
  <si>
    <t>P0145</t>
  </si>
  <si>
    <t>P0146</t>
  </si>
  <si>
    <t>Ring size 12</t>
  </si>
  <si>
    <t>P0147</t>
  </si>
  <si>
    <t>IND-12</t>
  </si>
  <si>
    <t>P0148</t>
  </si>
  <si>
    <t xml:space="preserve">Mangalsutra Pendant </t>
  </si>
  <si>
    <t>Motif 28.50 mm</t>
  </si>
  <si>
    <t>P0149</t>
  </si>
  <si>
    <t>P0150</t>
  </si>
  <si>
    <t>Stud Earrings</t>
  </si>
  <si>
    <t>6.30 x 6.00 mm</t>
  </si>
  <si>
    <t>P0151</t>
  </si>
  <si>
    <t>Broad Bracelet</t>
  </si>
  <si>
    <t>P0152</t>
  </si>
  <si>
    <t>P0153</t>
  </si>
  <si>
    <t>P0154</t>
  </si>
  <si>
    <t>P0155</t>
  </si>
  <si>
    <t>P0156</t>
  </si>
  <si>
    <t>P0157</t>
  </si>
  <si>
    <t>P0158</t>
  </si>
  <si>
    <t>P0159</t>
  </si>
  <si>
    <t>P0160</t>
  </si>
  <si>
    <t>31.72 x 18.98 mm</t>
  </si>
  <si>
    <t>P0161</t>
  </si>
  <si>
    <t>P0162</t>
  </si>
  <si>
    <t>P0163</t>
  </si>
  <si>
    <t>P0164</t>
  </si>
  <si>
    <t>P0165</t>
  </si>
  <si>
    <t>P0166</t>
  </si>
  <si>
    <t>P0167</t>
  </si>
  <si>
    <t>P0168</t>
  </si>
  <si>
    <t>P0169</t>
  </si>
  <si>
    <t>60 mm</t>
  </si>
  <si>
    <t>P0170</t>
  </si>
  <si>
    <t>P0171</t>
  </si>
  <si>
    <t xml:space="preserve">Mangalsutra </t>
  </si>
  <si>
    <t>P0172</t>
  </si>
  <si>
    <t>P0173</t>
  </si>
  <si>
    <t>P0174</t>
  </si>
  <si>
    <t>P0175</t>
  </si>
  <si>
    <t>P0176</t>
  </si>
  <si>
    <t>P0177</t>
  </si>
  <si>
    <t>P0178</t>
  </si>
  <si>
    <t>P0179</t>
  </si>
  <si>
    <t>20 mm; pearl 10 mm</t>
  </si>
  <si>
    <t>P0180</t>
  </si>
  <si>
    <t>P0181</t>
  </si>
  <si>
    <t>P0182</t>
  </si>
  <si>
    <t>P0183</t>
  </si>
  <si>
    <t>P0184</t>
  </si>
  <si>
    <t>P0185</t>
  </si>
  <si>
    <t>P0186</t>
  </si>
  <si>
    <t>P0187</t>
  </si>
  <si>
    <t>P0188</t>
  </si>
  <si>
    <t>P0189</t>
  </si>
  <si>
    <t>P0190</t>
  </si>
  <si>
    <t>P0191</t>
  </si>
  <si>
    <t>12.70 mm</t>
  </si>
  <si>
    <t>P0192</t>
  </si>
  <si>
    <t>P0193</t>
  </si>
  <si>
    <t>P0194</t>
  </si>
  <si>
    <t>P0195</t>
  </si>
  <si>
    <t>Layered Necklace</t>
  </si>
  <si>
    <t>P0196</t>
  </si>
  <si>
    <t>P0197</t>
  </si>
  <si>
    <t>P0198</t>
  </si>
  <si>
    <t>P0199</t>
  </si>
  <si>
    <t>P0200</t>
  </si>
  <si>
    <t>2.2 ana</t>
  </si>
  <si>
    <t>P0201</t>
  </si>
  <si>
    <t>Size 8</t>
  </si>
  <si>
    <t>P0202</t>
  </si>
  <si>
    <t>P0203</t>
  </si>
  <si>
    <t>P0204</t>
  </si>
  <si>
    <t>6.43 inch</t>
  </si>
  <si>
    <t>P0205</t>
  </si>
  <si>
    <t>P0206</t>
  </si>
  <si>
    <t>mens ring</t>
  </si>
  <si>
    <t>P0207</t>
  </si>
  <si>
    <t>IND-19</t>
  </si>
  <si>
    <t>P0208</t>
  </si>
  <si>
    <t>P0209</t>
  </si>
  <si>
    <t>15 inch</t>
  </si>
  <si>
    <t>P0210</t>
  </si>
  <si>
    <t>P0211</t>
  </si>
  <si>
    <t>P0212</t>
  </si>
  <si>
    <t>P0213</t>
  </si>
  <si>
    <t>P0214</t>
  </si>
  <si>
    <t>P0215</t>
  </si>
  <si>
    <t>P0216</t>
  </si>
  <si>
    <t xml:space="preserve">bangle </t>
  </si>
  <si>
    <t>pointer bangle</t>
  </si>
  <si>
    <t>2-2 ana</t>
  </si>
  <si>
    <t>Queue Code</t>
  </si>
  <si>
    <t>Raw Stone Detail From CAD Remarks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</si>
</sst>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yyyy-mm-dd"/>
  </numFmts>
  <fonts count="6">
    <font>
      <sz val="11.0"/>
      <color rgb="FF000000"/>
      <name val="Carlito"/>
      <scheme val="minor"/>
    </font>
    <font>
      <b/>
      <sz val="11.0"/>
      <color rgb="FFFFFFFF"/>
      <name val="Carlito"/>
    </font>
    <font>
      <sz val="11.0"/>
      <color theme="1"/>
      <name val="Carlito"/>
    </font>
    <font>
      <u/>
      <sz val="11.0"/>
      <color rgb="FF0000FF"/>
      <name val="Carlito"/>
    </font>
    <font>
      <u/>
      <sz val="11.0"/>
      <color rgb="FF0000FF"/>
      <name val="Carlito"/>
    </font>
    <font>
      <color theme="1"/>
      <name val="Carlito"/>
      <scheme val="minor"/>
    </font>
  </fonts>
  <fills count="7">
    <fill>
      <patternFill patternType="none"/>
    </fill>
    <fill>
      <patternFill patternType="lightGray"/>
    </fill>
    <fill>
      <patternFill patternType="solid">
        <fgColor rgb="FF0F766E"/>
        <bgColor rgb="FF0F766E"/>
      </patternFill>
    </fill>
    <fill>
      <patternFill patternType="solid">
        <fgColor rgb="FFFFF2CC"/>
        <bgColor rgb="FFFFF2CC"/>
      </patternFill>
    </fill>
    <fill>
      <patternFill patternType="solid">
        <fgColor rgb="FFFCE4D6"/>
        <bgColor rgb="FFFCE4D6"/>
      </patternFill>
    </fill>
    <fill>
      <patternFill patternType="solid">
        <fgColor rgb="FFC1E4F5"/>
        <bgColor rgb="FFC1E4F5"/>
      </patternFill>
    </fill>
    <fill>
      <patternFill patternType="solid">
        <fgColor rgb="FFFFFFFF"/>
        <bgColor rgb="FFFFFFFF"/>
      </patternFill>
    </fill>
  </fills>
  <borders count="2">
    <border/>
    <border>
      <left style="thin">
        <color rgb="FF000000"/>
      </left>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readingOrder="0" shrinkToFit="0" vertical="top" wrapText="1"/>
    </xf>
    <xf borderId="0" fillId="3" fontId="2" numFmtId="0" xfId="0" applyAlignment="1" applyFill="1" applyFont="1">
      <alignment readingOrder="0" shrinkToFit="0" vertical="top" wrapText="1"/>
    </xf>
    <xf borderId="0" fillId="3" fontId="2" numFmtId="0" xfId="0" applyAlignment="1" applyFont="1">
      <alignment readingOrder="0" shrinkToFit="0" vertical="top" wrapText="1"/>
    </xf>
    <xf borderId="0" fillId="0" fontId="3" numFmtId="0" xfId="0" applyAlignment="1" applyFont="1">
      <alignment readingOrder="0" shrinkToFit="0" vertical="top" wrapText="1"/>
    </xf>
    <xf borderId="0" fillId="4" fontId="2" numFmtId="164" xfId="0" applyAlignment="1" applyFill="1" applyFont="1" applyNumberFormat="1">
      <alignment readingOrder="0" shrinkToFit="0" vertical="top" wrapText="1"/>
    </xf>
    <xf borderId="0" fillId="4" fontId="2" numFmtId="1" xfId="0" applyAlignment="1" applyFont="1" applyNumberFormat="1">
      <alignment readingOrder="0" shrinkToFit="0" vertical="top" wrapText="1"/>
    </xf>
    <xf borderId="0" fillId="0" fontId="2" numFmtId="165" xfId="0" applyAlignment="1" applyFont="1" applyNumberFormat="1">
      <alignment readingOrder="0" shrinkToFit="0" vertical="top" wrapText="1"/>
    </xf>
    <xf borderId="0" fillId="0" fontId="2" numFmtId="0" xfId="0" applyAlignment="1" applyFont="1">
      <alignment shrinkToFit="0" vertical="top" wrapText="1"/>
    </xf>
    <xf borderId="0" fillId="0" fontId="4" numFmtId="0" xfId="0" applyAlignment="1" applyFont="1">
      <alignment shrinkToFit="0" vertical="top" wrapText="1"/>
    </xf>
    <xf borderId="0" fillId="4" fontId="2" numFmtId="164" xfId="0" applyAlignment="1" applyFont="1" applyNumberFormat="1">
      <alignment shrinkToFit="0" vertical="top" wrapText="1"/>
    </xf>
    <xf borderId="0" fillId="4" fontId="2" numFmtId="1" xfId="0" applyAlignment="1" applyFont="1" applyNumberFormat="1">
      <alignment shrinkToFit="0" vertical="top" wrapText="1"/>
    </xf>
    <xf borderId="0" fillId="0" fontId="2" numFmtId="165" xfId="0" applyAlignment="1" applyFont="1" applyNumberFormat="1">
      <alignment shrinkToFit="0" vertical="top" wrapText="1"/>
    </xf>
    <xf borderId="0" fillId="3" fontId="2" numFmtId="0" xfId="0" applyAlignment="1" applyFont="1">
      <alignment shrinkToFit="0" vertical="top" wrapText="1"/>
    </xf>
    <xf borderId="0" fillId="0" fontId="2" numFmtId="0" xfId="0" applyAlignment="1" applyFont="1">
      <alignment readingOrder="0" shrinkToFit="0" vertical="top" wrapText="1"/>
    </xf>
    <xf borderId="1" fillId="3" fontId="2" numFmtId="0" xfId="0" applyAlignment="1" applyBorder="1" applyFont="1">
      <alignment readingOrder="0" shrinkToFit="0" vertical="top" wrapText="1"/>
    </xf>
    <xf quotePrefix="1" borderId="0" fillId="4" fontId="2" numFmtId="164" xfId="0" applyAlignment="1" applyFont="1" applyNumberFormat="1">
      <alignment readingOrder="0" shrinkToFit="0" vertical="top" wrapText="1"/>
    </xf>
    <xf borderId="0" fillId="5" fontId="2" numFmtId="0" xfId="0" applyAlignment="1" applyFill="1" applyFont="1">
      <alignment shrinkToFit="0" vertical="bottom" wrapText="1"/>
    </xf>
    <xf borderId="0" fillId="0" fontId="2" numFmtId="0" xfId="0" applyAlignment="1" applyFont="1">
      <alignment readingOrder="0" shrinkToFit="0" vertical="top" wrapText="1"/>
    </xf>
    <xf borderId="0" fillId="4" fontId="2" numFmtId="0" xfId="0" applyAlignment="1" applyFont="1">
      <alignment readingOrder="0" shrinkToFit="0" vertical="top" wrapText="1"/>
    </xf>
    <xf borderId="0" fillId="0" fontId="2" numFmtId="0" xfId="0" applyAlignment="1" applyFont="1">
      <alignment shrinkToFit="0" vertical="top" wrapText="1"/>
    </xf>
    <xf borderId="0" fillId="6" fontId="2" numFmtId="0" xfId="0" applyAlignment="1" applyFill="1" applyFont="1">
      <alignment shrinkToFit="0" vertical="bottom" wrapText="1"/>
    </xf>
    <xf borderId="0" fillId="6" fontId="2" numFmtId="0" xfId="0" applyAlignment="1" applyFont="1">
      <alignment vertical="bottom"/>
    </xf>
    <xf borderId="0" fillId="5" fontId="2" numFmtId="0" xfId="0" applyAlignment="1" applyFont="1">
      <alignment vertical="bottom"/>
    </xf>
    <xf borderId="0" fillId="0" fontId="5" numFmtId="0" xfId="0" applyAlignment="1" applyFont="1">
      <alignment readingOrder="0"/>
    </xf>
    <xf borderId="0" fillId="0" fontId="5" numFmtId="0" xfId="0" applyFont="1"/>
  </cellXfs>
  <cellStyles count="1">
    <cellStyle xfId="0" name="Normal" builtinId="0"/>
  </cellStyles>
  <dxfs count="6">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font/>
      <fill>
        <patternFill patternType="solid">
          <fgColor rgb="FFFFF2CC"/>
          <bgColor rgb="FFFFF2CC"/>
        </patternFill>
      </fill>
      <border/>
    </dxf>
    <dxf>
      <font/>
      <fill>
        <patternFill patternType="solid">
          <fgColor rgb="FFFCE4D6"/>
          <bgColor rgb="FFFCE4D6"/>
        </patternFill>
      </fill>
      <border/>
    </dxf>
  </dxfs>
  <tableStyles count="1">
    <tableStyle count="3" pivot="0" name="Product Master P001-P0136-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217" displayName="Table_1" name="Table_1" id="1">
  <tableColumns count="20">
    <tableColumn name="Design Number" id="1"/>
    <tableColumn name="Product Category" id="2"/>
    <tableColumn name="Product Style" id="3"/>
    <tableColumn name="Product Size" id="4"/>
    <tableColumn name="CAD Image Link" id="5"/>
    <tableColumn name="9KT Gold Wt (g)" id="6"/>
    <tableColumn name="14KT Gold Wt (g)" id="7"/>
    <tableColumn name="18KT Gold Wt (g)" id="8"/>
    <tableColumn name="Actual Gold Karat" id="9"/>
    <tableColumn name="Actual Gold Wt (g)" id="10"/>
    <tableColumn name="Total Diamond Wt (ct)" id="11"/>
    <tableColumn name="Total Diamond Pcs" id="12"/>
    <tableColumn name="Total Colourstone Wt (ct)" id="13"/>
    <tableColumn name="Total Colourstone Pcs" id="14"/>
    <tableColumn name="Marks / Remarks" id="15"/>
    <tableColumn name="Status" id="16"/>
    <tableColumn name="Date Received" id="17"/>
    <tableColumn name="Final Approval" id="18"/>
    <tableColumn name="Rhodium Instruction" id="19"/>
    <tableColumn name="Review Notes" id="20"/>
  </tableColumns>
  <tableStyleInfo name="Product Master P001-P013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lGntY2u5xbd1_v_6-sWjVqxfS02uwHaO/view?usp=drivesdk" TargetMode="External"/><Relationship Id="rId10" Type="http://schemas.openxmlformats.org/officeDocument/2006/relationships/hyperlink" Target="https://drive.google.com/file/d/1yuuX3TQmshJdwF_KqX4wM73bdwuNxqFQ/view?usp=drivesdk" TargetMode="External"/><Relationship Id="rId12" Type="http://schemas.openxmlformats.org/officeDocument/2006/relationships/drawing" Target="../drawings/drawing1.xml"/><Relationship Id="rId1" Type="http://schemas.openxmlformats.org/officeDocument/2006/relationships/hyperlink" Target="https://drive.google.com/file/d/1JLGLgix_7DDjBRzmhnF0LhWoRlAlXnJI/view?usp=drivesdk" TargetMode="External"/><Relationship Id="rId2" Type="http://schemas.openxmlformats.org/officeDocument/2006/relationships/hyperlink" Target="https://drive.google.com/file/d/1mFtRUv5lX_MvYrXw5FurautLjPCFxaFR/view?usp=drivesdk" TargetMode="External"/><Relationship Id="rId3" Type="http://schemas.openxmlformats.org/officeDocument/2006/relationships/hyperlink" Target="https://drive.google.com/file/d/1sSzAUkcqkqTZpZiocyrVg6zhF0-vPYj-/view?usp=drivesdk" TargetMode="External"/><Relationship Id="rId4" Type="http://schemas.openxmlformats.org/officeDocument/2006/relationships/hyperlink" Target="https://drive.google.com/file/d/1mv8bB0tlJcdAWn8kw7qfKU8hJZGVXyz-/view?usp=drivesdk" TargetMode="External"/><Relationship Id="rId9" Type="http://schemas.openxmlformats.org/officeDocument/2006/relationships/hyperlink" Target="https://drive.google.com/file/d/1QQb43aOa6xqdOxucb8yzjkVh-qrYPS2K/view?usp=drivesdk" TargetMode="External"/><Relationship Id="rId14" Type="http://schemas.openxmlformats.org/officeDocument/2006/relationships/table" Target="../tables/table1.xml"/><Relationship Id="rId5" Type="http://schemas.openxmlformats.org/officeDocument/2006/relationships/hyperlink" Target="https://drive.google.com/file/d/13ZTvHslWkfjrKGQ8g5oHFYNfyYF8gnjS/view?usp=drivesdk" TargetMode="External"/><Relationship Id="rId6" Type="http://schemas.openxmlformats.org/officeDocument/2006/relationships/hyperlink" Target="https://drive.google.com/file/d/1Ua0QoJUwP3bn6kOWCZWtUSuGvhudlPxh/view?usp=drivesdk" TargetMode="External"/><Relationship Id="rId7" Type="http://schemas.openxmlformats.org/officeDocument/2006/relationships/hyperlink" Target="https://drive.google.com/file/d/1TRYJ6ue5IzQzPTL4D-IZ5_9D2I0GLWwS/view?usp=drivesdk" TargetMode="External"/><Relationship Id="rId8" Type="http://schemas.openxmlformats.org/officeDocument/2006/relationships/hyperlink" Target="https://drive.google.com/file/d/1MRS-mHz_kcqjqgeiqCxKv0FKnCRaX6nP/view?usp=drives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18.0"/>
    <col customWidth="1" min="3" max="3" width="28.0"/>
    <col customWidth="1" min="4" max="5" width="18.0"/>
    <col customWidth="1" min="6" max="8" width="12.0"/>
    <col customWidth="1" min="9" max="9" width="16.0"/>
    <col customWidth="1" min="10" max="10" width="14.0"/>
    <col customWidth="1" min="11" max="11" width="16.0"/>
    <col customWidth="1" min="12" max="12" width="14.0"/>
    <col customWidth="1" min="13" max="14" width="18.0"/>
    <col customWidth="1" min="15" max="15" width="55.0"/>
    <col customWidth="1" min="16" max="16" width="16.0"/>
    <col customWidth="1" min="17" max="18" width="14.0"/>
    <col customWidth="1" min="19" max="19" width="20.0"/>
    <col customWidth="1" min="20" max="20" width="45.0"/>
    <col customWidth="1" min="21" max="24" width="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2" t="s">
        <v>20</v>
      </c>
      <c r="B2" s="3" t="s">
        <v>21</v>
      </c>
      <c r="C2" s="4" t="s">
        <v>22</v>
      </c>
      <c r="D2" s="2" t="s">
        <v>23</v>
      </c>
      <c r="E2" s="5" t="s">
        <v>24</v>
      </c>
      <c r="F2" s="6" t="s">
        <v>25</v>
      </c>
      <c r="G2" s="6" t="s">
        <v>25</v>
      </c>
      <c r="H2" s="6">
        <v>5.7</v>
      </c>
      <c r="I2" s="6" t="s">
        <v>25</v>
      </c>
      <c r="J2" s="6" t="s">
        <v>25</v>
      </c>
      <c r="K2" s="6" t="s">
        <v>25</v>
      </c>
      <c r="L2" s="7" t="s">
        <v>25</v>
      </c>
      <c r="M2" s="6" t="s">
        <v>25</v>
      </c>
      <c r="N2" s="7" t="s">
        <v>25</v>
      </c>
      <c r="O2" s="2" t="s">
        <v>26</v>
      </c>
      <c r="P2" s="2" t="s">
        <v>27</v>
      </c>
      <c r="Q2" s="8" t="s">
        <v>28</v>
      </c>
      <c r="R2" s="2" t="s">
        <v>25</v>
      </c>
      <c r="S2" s="2" t="s">
        <v>25</v>
      </c>
      <c r="T2" s="9" t="s">
        <v>29</v>
      </c>
    </row>
    <row r="3">
      <c r="A3" s="2" t="s">
        <v>30</v>
      </c>
      <c r="B3" s="3" t="s">
        <v>31</v>
      </c>
      <c r="C3" s="4" t="s">
        <v>22</v>
      </c>
      <c r="D3" s="2" t="s">
        <v>32</v>
      </c>
      <c r="E3" s="5" t="s">
        <v>33</v>
      </c>
      <c r="F3" s="6" t="s">
        <v>25</v>
      </c>
      <c r="G3" s="6" t="s">
        <v>25</v>
      </c>
      <c r="H3" s="6">
        <v>3.9</v>
      </c>
      <c r="I3" s="6" t="s">
        <v>25</v>
      </c>
      <c r="J3" s="6" t="s">
        <v>25</v>
      </c>
      <c r="K3" s="6" t="s">
        <v>25</v>
      </c>
      <c r="L3" s="7" t="s">
        <v>25</v>
      </c>
      <c r="M3" s="6" t="s">
        <v>25</v>
      </c>
      <c r="N3" s="7" t="s">
        <v>25</v>
      </c>
      <c r="O3" s="2" t="s">
        <v>34</v>
      </c>
      <c r="P3" s="2" t="s">
        <v>27</v>
      </c>
      <c r="Q3" s="8" t="s">
        <v>28</v>
      </c>
      <c r="R3" s="2" t="s">
        <v>25</v>
      </c>
      <c r="S3" s="2" t="s">
        <v>25</v>
      </c>
      <c r="T3" s="9" t="s">
        <v>35</v>
      </c>
    </row>
    <row r="4">
      <c r="A4" s="2" t="s">
        <v>36</v>
      </c>
      <c r="B4" s="3" t="s">
        <v>37</v>
      </c>
      <c r="C4" s="3" t="s">
        <v>38</v>
      </c>
      <c r="D4" s="2" t="s">
        <v>39</v>
      </c>
      <c r="E4" s="5" t="s">
        <v>40</v>
      </c>
      <c r="F4" s="6" t="s">
        <v>25</v>
      </c>
      <c r="G4" s="6" t="s">
        <v>25</v>
      </c>
      <c r="H4" s="6">
        <v>5.0</v>
      </c>
      <c r="I4" s="6" t="s">
        <v>25</v>
      </c>
      <c r="J4" s="6" t="s">
        <v>25</v>
      </c>
      <c r="K4" s="6">
        <v>0.5675</v>
      </c>
      <c r="L4" s="7">
        <v>114.0</v>
      </c>
      <c r="M4" s="6" t="s">
        <v>25</v>
      </c>
      <c r="N4" s="7" t="s">
        <v>25</v>
      </c>
      <c r="O4" s="2" t="s">
        <v>41</v>
      </c>
      <c r="P4" s="2" t="s">
        <v>27</v>
      </c>
      <c r="Q4" s="8" t="s">
        <v>28</v>
      </c>
      <c r="R4" s="2" t="s">
        <v>25</v>
      </c>
      <c r="S4" s="2" t="s">
        <v>25</v>
      </c>
      <c r="T4" s="9" t="s">
        <v>42</v>
      </c>
    </row>
    <row r="5">
      <c r="A5" s="2" t="s">
        <v>43</v>
      </c>
      <c r="B5" s="4" t="s">
        <v>44</v>
      </c>
      <c r="C5" s="4" t="s">
        <v>45</v>
      </c>
      <c r="D5" s="2" t="s">
        <v>25</v>
      </c>
      <c r="E5" s="5" t="s">
        <v>46</v>
      </c>
      <c r="F5" s="6" t="s">
        <v>25</v>
      </c>
      <c r="G5" s="6" t="s">
        <v>25</v>
      </c>
      <c r="H5" s="6" t="s">
        <v>25</v>
      </c>
      <c r="I5" s="6" t="s">
        <v>25</v>
      </c>
      <c r="J5" s="6" t="s">
        <v>25</v>
      </c>
      <c r="K5" s="6" t="s">
        <v>25</v>
      </c>
      <c r="L5" s="7" t="s">
        <v>25</v>
      </c>
      <c r="M5" s="6" t="s">
        <v>25</v>
      </c>
      <c r="N5" s="7">
        <v>88.0</v>
      </c>
      <c r="O5" s="2" t="s">
        <v>47</v>
      </c>
      <c r="P5" s="2" t="s">
        <v>25</v>
      </c>
      <c r="Q5" s="8" t="s">
        <v>28</v>
      </c>
      <c r="R5" s="2" t="s">
        <v>25</v>
      </c>
      <c r="S5" s="2" t="s">
        <v>25</v>
      </c>
      <c r="T5" s="9" t="s">
        <v>42</v>
      </c>
    </row>
    <row r="6">
      <c r="A6" s="2" t="s">
        <v>48</v>
      </c>
      <c r="B6" s="3" t="s">
        <v>31</v>
      </c>
      <c r="C6" s="4" t="s">
        <v>49</v>
      </c>
      <c r="D6" s="2" t="s">
        <v>50</v>
      </c>
      <c r="E6" s="5" t="s">
        <v>51</v>
      </c>
      <c r="F6" s="6" t="s">
        <v>25</v>
      </c>
      <c r="G6" s="6" t="s">
        <v>25</v>
      </c>
      <c r="H6" s="6">
        <v>2.0</v>
      </c>
      <c r="I6" s="6">
        <v>18.0</v>
      </c>
      <c r="J6" s="6">
        <v>2.0</v>
      </c>
      <c r="K6" s="6">
        <v>1.62</v>
      </c>
      <c r="L6" s="7">
        <v>1.0</v>
      </c>
      <c r="M6" s="6" t="s">
        <v>25</v>
      </c>
      <c r="N6" s="7" t="s">
        <v>25</v>
      </c>
      <c r="O6" s="2" t="s">
        <v>52</v>
      </c>
      <c r="P6" s="2" t="s">
        <v>27</v>
      </c>
      <c r="Q6" s="8" t="s">
        <v>28</v>
      </c>
      <c r="R6" s="2" t="s">
        <v>25</v>
      </c>
      <c r="S6" s="2" t="s">
        <v>25</v>
      </c>
      <c r="T6" s="9" t="s">
        <v>42</v>
      </c>
    </row>
    <row r="7">
      <c r="A7" s="2" t="s">
        <v>53</v>
      </c>
      <c r="B7" s="3" t="s">
        <v>31</v>
      </c>
      <c r="C7" s="4" t="s">
        <v>49</v>
      </c>
      <c r="D7" s="2" t="s">
        <v>54</v>
      </c>
      <c r="E7" s="5" t="s">
        <v>55</v>
      </c>
      <c r="F7" s="6" t="s">
        <v>25</v>
      </c>
      <c r="G7" s="6" t="s">
        <v>25</v>
      </c>
      <c r="H7" s="6">
        <v>2.2</v>
      </c>
      <c r="I7" s="6">
        <v>18.0</v>
      </c>
      <c r="J7" s="6">
        <v>2.2</v>
      </c>
      <c r="K7" s="6" t="s">
        <v>25</v>
      </c>
      <c r="L7" s="7">
        <v>1.0</v>
      </c>
      <c r="M7" s="6" t="s">
        <v>25</v>
      </c>
      <c r="N7" s="7" t="s">
        <v>25</v>
      </c>
      <c r="O7" s="2" t="s">
        <v>56</v>
      </c>
      <c r="P7" s="2" t="s">
        <v>27</v>
      </c>
      <c r="Q7" s="8" t="s">
        <v>28</v>
      </c>
      <c r="R7" s="2" t="s">
        <v>25</v>
      </c>
      <c r="S7" s="2" t="s">
        <v>25</v>
      </c>
      <c r="T7" s="9" t="s">
        <v>42</v>
      </c>
    </row>
    <row r="8">
      <c r="A8" s="2" t="s">
        <v>57</v>
      </c>
      <c r="B8" s="3" t="s">
        <v>21</v>
      </c>
      <c r="C8" s="4" t="s">
        <v>58</v>
      </c>
      <c r="D8" s="2" t="s">
        <v>59</v>
      </c>
      <c r="E8" s="5" t="s">
        <v>60</v>
      </c>
      <c r="F8" s="6" t="s">
        <v>25</v>
      </c>
      <c r="G8" s="6" t="s">
        <v>25</v>
      </c>
      <c r="H8" s="6">
        <v>4.3</v>
      </c>
      <c r="I8" s="6">
        <v>18.0</v>
      </c>
      <c r="J8" s="6">
        <v>4.3</v>
      </c>
      <c r="K8" s="6" t="s">
        <v>25</v>
      </c>
      <c r="L8" s="7">
        <v>2.0</v>
      </c>
      <c r="M8" s="6" t="s">
        <v>25</v>
      </c>
      <c r="N8" s="7" t="s">
        <v>25</v>
      </c>
      <c r="O8" s="2" t="s">
        <v>61</v>
      </c>
      <c r="P8" s="2" t="s">
        <v>27</v>
      </c>
      <c r="Q8" s="8" t="s">
        <v>28</v>
      </c>
      <c r="R8" s="2" t="s">
        <v>25</v>
      </c>
      <c r="S8" s="2" t="s">
        <v>25</v>
      </c>
      <c r="T8" s="9" t="s">
        <v>42</v>
      </c>
    </row>
    <row r="9">
      <c r="A9" s="2" t="s">
        <v>62</v>
      </c>
      <c r="B9" s="3" t="s">
        <v>31</v>
      </c>
      <c r="C9" s="4" t="s">
        <v>58</v>
      </c>
      <c r="D9" s="2" t="s">
        <v>63</v>
      </c>
      <c r="E9" s="5" t="s">
        <v>64</v>
      </c>
      <c r="F9" s="6" t="s">
        <v>25</v>
      </c>
      <c r="G9" s="6" t="s">
        <v>25</v>
      </c>
      <c r="H9" s="6">
        <v>3.0</v>
      </c>
      <c r="I9" s="6">
        <v>18.0</v>
      </c>
      <c r="J9" s="6">
        <v>3.0</v>
      </c>
      <c r="K9" s="6" t="s">
        <v>25</v>
      </c>
      <c r="L9" s="7">
        <v>1.0</v>
      </c>
      <c r="M9" s="6" t="s">
        <v>25</v>
      </c>
      <c r="N9" s="7" t="s">
        <v>25</v>
      </c>
      <c r="O9" s="2" t="s">
        <v>65</v>
      </c>
      <c r="P9" s="2" t="s">
        <v>27</v>
      </c>
      <c r="Q9" s="8" t="s">
        <v>28</v>
      </c>
      <c r="R9" s="2" t="s">
        <v>25</v>
      </c>
      <c r="S9" s="2" t="s">
        <v>25</v>
      </c>
      <c r="T9" s="9" t="s">
        <v>42</v>
      </c>
    </row>
    <row r="10">
      <c r="A10" s="2" t="s">
        <v>66</v>
      </c>
      <c r="B10" s="3" t="s">
        <v>31</v>
      </c>
      <c r="C10" s="4" t="s">
        <v>22</v>
      </c>
      <c r="D10" s="2" t="s">
        <v>67</v>
      </c>
      <c r="E10" s="5" t="s">
        <v>68</v>
      </c>
      <c r="F10" s="6" t="s">
        <v>25</v>
      </c>
      <c r="G10" s="6" t="s">
        <v>25</v>
      </c>
      <c r="H10" s="6">
        <v>1.5</v>
      </c>
      <c r="I10" s="6">
        <v>18.0</v>
      </c>
      <c r="J10" s="6">
        <v>1.5</v>
      </c>
      <c r="K10" s="6" t="s">
        <v>25</v>
      </c>
      <c r="L10" s="7">
        <v>1.0</v>
      </c>
      <c r="M10" s="6" t="s">
        <v>25</v>
      </c>
      <c r="N10" s="7" t="s">
        <v>25</v>
      </c>
      <c r="O10" s="2" t="s">
        <v>69</v>
      </c>
      <c r="P10" s="2" t="s">
        <v>27</v>
      </c>
      <c r="Q10" s="8" t="s">
        <v>28</v>
      </c>
      <c r="R10" s="2" t="s">
        <v>25</v>
      </c>
      <c r="S10" s="2" t="s">
        <v>25</v>
      </c>
      <c r="T10" s="9" t="s">
        <v>42</v>
      </c>
    </row>
    <row r="11">
      <c r="A11" s="2" t="s">
        <v>70</v>
      </c>
      <c r="B11" s="3" t="s">
        <v>21</v>
      </c>
      <c r="C11" s="4" t="s">
        <v>22</v>
      </c>
      <c r="D11" s="2" t="s">
        <v>71</v>
      </c>
      <c r="E11" s="5" t="s">
        <v>72</v>
      </c>
      <c r="F11" s="6" t="s">
        <v>25</v>
      </c>
      <c r="G11" s="6" t="s">
        <v>25</v>
      </c>
      <c r="H11" s="6">
        <v>3.2</v>
      </c>
      <c r="I11" s="6" t="s">
        <v>25</v>
      </c>
      <c r="J11" s="6">
        <v>3.2</v>
      </c>
      <c r="K11" s="6" t="s">
        <v>25</v>
      </c>
      <c r="L11" s="7">
        <v>2.0</v>
      </c>
      <c r="M11" s="6" t="s">
        <v>25</v>
      </c>
      <c r="N11" s="7" t="s">
        <v>25</v>
      </c>
      <c r="O11" s="2" t="s">
        <v>73</v>
      </c>
      <c r="P11" s="2" t="s">
        <v>27</v>
      </c>
      <c r="Q11" s="8" t="s">
        <v>28</v>
      </c>
      <c r="R11" s="2" t="s">
        <v>25</v>
      </c>
      <c r="S11" s="2" t="s">
        <v>25</v>
      </c>
      <c r="T11" s="9" t="s">
        <v>42</v>
      </c>
    </row>
    <row r="12">
      <c r="A12" s="2" t="s">
        <v>74</v>
      </c>
      <c r="B12" s="3" t="s">
        <v>31</v>
      </c>
      <c r="C12" s="4" t="s">
        <v>22</v>
      </c>
      <c r="D12" s="2" t="s">
        <v>75</v>
      </c>
      <c r="E12" s="5" t="s">
        <v>76</v>
      </c>
      <c r="F12" s="6" t="s">
        <v>25</v>
      </c>
      <c r="G12" s="6" t="s">
        <v>25</v>
      </c>
      <c r="H12" s="6">
        <v>1.6</v>
      </c>
      <c r="I12" s="6" t="s">
        <v>25</v>
      </c>
      <c r="J12" s="6">
        <v>1.6</v>
      </c>
      <c r="K12" s="6" t="s">
        <v>25</v>
      </c>
      <c r="L12" s="7">
        <v>1.0</v>
      </c>
      <c r="M12" s="6" t="s">
        <v>25</v>
      </c>
      <c r="N12" s="7" t="s">
        <v>25</v>
      </c>
      <c r="O12" s="2" t="s">
        <v>77</v>
      </c>
      <c r="P12" s="2" t="s">
        <v>27</v>
      </c>
      <c r="Q12" s="8" t="s">
        <v>28</v>
      </c>
      <c r="R12" s="2" t="s">
        <v>25</v>
      </c>
      <c r="S12" s="2" t="s">
        <v>25</v>
      </c>
      <c r="T12" s="9" t="s">
        <v>42</v>
      </c>
    </row>
    <row r="13">
      <c r="A13" s="9" t="s">
        <v>78</v>
      </c>
      <c r="B13" s="4" t="s">
        <v>21</v>
      </c>
      <c r="C13" s="4" t="s">
        <v>22</v>
      </c>
      <c r="D13" s="9"/>
      <c r="E13" s="10" t="str">
        <f>HYPERLINK("https://drive.google.com/drive/search?q=P012","Find CAD image")</f>
        <v>Find CAD image</v>
      </c>
      <c r="F13" s="11"/>
      <c r="G13" s="11"/>
      <c r="H13" s="11"/>
      <c r="I13" s="11"/>
      <c r="J13" s="11"/>
      <c r="K13" s="11"/>
      <c r="L13" s="12"/>
      <c r="M13" s="11"/>
      <c r="N13" s="12"/>
      <c r="O13" s="9" t="s">
        <v>79</v>
      </c>
      <c r="P13" s="9" t="s">
        <v>27</v>
      </c>
      <c r="Q13" s="13"/>
      <c r="R13" s="9" t="s">
        <v>80</v>
      </c>
      <c r="S13" s="9"/>
      <c r="T13" s="9" t="s">
        <v>42</v>
      </c>
    </row>
    <row r="14">
      <c r="A14" s="2" t="s">
        <v>81</v>
      </c>
      <c r="B14" s="3" t="s">
        <v>37</v>
      </c>
      <c r="C14" s="4" t="s">
        <v>38</v>
      </c>
      <c r="D14" s="2" t="s">
        <v>82</v>
      </c>
      <c r="E14" s="2" t="s">
        <v>83</v>
      </c>
      <c r="F14" s="6" t="s">
        <v>25</v>
      </c>
      <c r="G14" s="6" t="s">
        <v>25</v>
      </c>
      <c r="H14" s="6">
        <v>3.0</v>
      </c>
      <c r="I14" s="6">
        <v>18.0</v>
      </c>
      <c r="J14" s="6">
        <v>3.0</v>
      </c>
      <c r="K14" s="6" t="s">
        <v>25</v>
      </c>
      <c r="L14" s="7">
        <v>1.0</v>
      </c>
      <c r="M14" s="6" t="s">
        <v>25</v>
      </c>
      <c r="N14" s="7" t="s">
        <v>25</v>
      </c>
      <c r="O14" s="2" t="s">
        <v>84</v>
      </c>
      <c r="P14" s="2" t="s">
        <v>27</v>
      </c>
      <c r="Q14" s="8" t="s">
        <v>28</v>
      </c>
      <c r="R14" s="2" t="s">
        <v>25</v>
      </c>
      <c r="S14" s="2" t="s">
        <v>25</v>
      </c>
      <c r="T14" s="9" t="s">
        <v>42</v>
      </c>
    </row>
    <row r="15">
      <c r="A15" s="2" t="s">
        <v>85</v>
      </c>
      <c r="B15" s="3" t="s">
        <v>37</v>
      </c>
      <c r="C15" s="4" t="s">
        <v>38</v>
      </c>
      <c r="D15" s="2" t="s">
        <v>86</v>
      </c>
      <c r="E15" s="2" t="s">
        <v>87</v>
      </c>
      <c r="F15" s="6" t="s">
        <v>25</v>
      </c>
      <c r="G15" s="6" t="s">
        <v>25</v>
      </c>
      <c r="H15" s="6">
        <v>3.0</v>
      </c>
      <c r="I15" s="6">
        <v>18.0</v>
      </c>
      <c r="J15" s="6">
        <v>3.0</v>
      </c>
      <c r="K15" s="6">
        <v>1.75</v>
      </c>
      <c r="L15" s="7">
        <v>1.0</v>
      </c>
      <c r="M15" s="6" t="s">
        <v>25</v>
      </c>
      <c r="N15" s="7" t="s">
        <v>25</v>
      </c>
      <c r="O15" s="2" t="s">
        <v>88</v>
      </c>
      <c r="P15" s="2" t="s">
        <v>27</v>
      </c>
      <c r="Q15" s="8" t="s">
        <v>28</v>
      </c>
      <c r="R15" s="2" t="s">
        <v>25</v>
      </c>
      <c r="S15" s="2" t="s">
        <v>25</v>
      </c>
      <c r="T15" s="9" t="s">
        <v>42</v>
      </c>
    </row>
    <row r="16">
      <c r="A16" s="2" t="s">
        <v>89</v>
      </c>
      <c r="B16" s="3" t="s">
        <v>37</v>
      </c>
      <c r="C16" s="4" t="s">
        <v>90</v>
      </c>
      <c r="D16" s="2" t="s">
        <v>91</v>
      </c>
      <c r="E16" s="2" t="s">
        <v>92</v>
      </c>
      <c r="F16" s="6" t="s">
        <v>25</v>
      </c>
      <c r="G16" s="6" t="s">
        <v>25</v>
      </c>
      <c r="H16" s="6">
        <v>4.6</v>
      </c>
      <c r="I16" s="6">
        <v>18.0</v>
      </c>
      <c r="J16" s="6">
        <v>4.6</v>
      </c>
      <c r="K16" s="6" t="s">
        <v>93</v>
      </c>
      <c r="L16" s="7">
        <v>33.0</v>
      </c>
      <c r="M16" s="6" t="s">
        <v>25</v>
      </c>
      <c r="N16" s="7" t="s">
        <v>25</v>
      </c>
      <c r="O16" s="2" t="s">
        <v>94</v>
      </c>
      <c r="P16" s="2" t="s">
        <v>27</v>
      </c>
      <c r="Q16" s="8" t="s">
        <v>28</v>
      </c>
      <c r="R16" s="2" t="s">
        <v>25</v>
      </c>
      <c r="S16" s="2" t="s">
        <v>25</v>
      </c>
      <c r="T16" s="9" t="s">
        <v>42</v>
      </c>
    </row>
    <row r="17">
      <c r="A17" s="2" t="s">
        <v>95</v>
      </c>
      <c r="B17" s="3" t="s">
        <v>31</v>
      </c>
      <c r="C17" s="4" t="s">
        <v>96</v>
      </c>
      <c r="D17" s="2" t="s">
        <v>97</v>
      </c>
      <c r="E17" s="2" t="s">
        <v>98</v>
      </c>
      <c r="F17" s="6" t="s">
        <v>25</v>
      </c>
      <c r="G17" s="6" t="s">
        <v>25</v>
      </c>
      <c r="H17" s="6">
        <v>2.9</v>
      </c>
      <c r="I17" s="6">
        <v>18.0</v>
      </c>
      <c r="J17" s="6">
        <v>2.9</v>
      </c>
      <c r="K17" s="6">
        <v>1.476</v>
      </c>
      <c r="L17" s="7">
        <v>51.0</v>
      </c>
      <c r="M17" s="6" t="s">
        <v>25</v>
      </c>
      <c r="N17" s="7" t="s">
        <v>25</v>
      </c>
      <c r="O17" s="2" t="s">
        <v>99</v>
      </c>
      <c r="P17" s="2" t="s">
        <v>27</v>
      </c>
      <c r="Q17" s="8" t="s">
        <v>28</v>
      </c>
      <c r="R17" s="2" t="s">
        <v>25</v>
      </c>
      <c r="S17" s="2" t="s">
        <v>25</v>
      </c>
      <c r="T17" s="9" t="s">
        <v>42</v>
      </c>
    </row>
    <row r="18">
      <c r="A18" s="2" t="s">
        <v>100</v>
      </c>
      <c r="B18" s="3" t="s">
        <v>101</v>
      </c>
      <c r="C18" s="4" t="s">
        <v>102</v>
      </c>
      <c r="D18" s="2" t="s">
        <v>103</v>
      </c>
      <c r="E18" s="2" t="s">
        <v>104</v>
      </c>
      <c r="F18" s="6" t="s">
        <v>25</v>
      </c>
      <c r="G18" s="6" t="s">
        <v>105</v>
      </c>
      <c r="H18" s="6" t="s">
        <v>25</v>
      </c>
      <c r="I18" s="6">
        <v>14.0</v>
      </c>
      <c r="J18" s="6" t="s">
        <v>105</v>
      </c>
      <c r="K18" s="6" t="s">
        <v>25</v>
      </c>
      <c r="L18" s="7" t="s">
        <v>25</v>
      </c>
      <c r="M18" s="6" t="s">
        <v>25</v>
      </c>
      <c r="N18" s="7" t="s">
        <v>25</v>
      </c>
      <c r="O18" s="2" t="s">
        <v>106</v>
      </c>
      <c r="P18" s="2" t="s">
        <v>25</v>
      </c>
      <c r="Q18" s="8" t="s">
        <v>28</v>
      </c>
      <c r="R18" s="2" t="s">
        <v>25</v>
      </c>
      <c r="S18" s="2" t="s">
        <v>25</v>
      </c>
      <c r="T18" s="9" t="s">
        <v>42</v>
      </c>
    </row>
    <row r="19">
      <c r="A19" s="2" t="s">
        <v>107</v>
      </c>
      <c r="B19" s="3" t="s">
        <v>37</v>
      </c>
      <c r="C19" s="4" t="s">
        <v>108</v>
      </c>
      <c r="D19" s="2" t="s">
        <v>109</v>
      </c>
      <c r="E19" s="2" t="s">
        <v>110</v>
      </c>
      <c r="F19" s="6" t="s">
        <v>25</v>
      </c>
      <c r="G19" s="6" t="s">
        <v>25</v>
      </c>
      <c r="H19" s="6">
        <v>6.8</v>
      </c>
      <c r="I19" s="6">
        <v>18.0</v>
      </c>
      <c r="J19" s="6">
        <v>6.8</v>
      </c>
      <c r="K19" s="6">
        <v>1.506</v>
      </c>
      <c r="L19" s="7">
        <v>50.0</v>
      </c>
      <c r="M19" s="6" t="s">
        <v>25</v>
      </c>
      <c r="N19" s="7" t="s">
        <v>25</v>
      </c>
      <c r="O19" s="2" t="s">
        <v>111</v>
      </c>
      <c r="P19" s="2" t="s">
        <v>27</v>
      </c>
      <c r="Q19" s="8" t="s">
        <v>28</v>
      </c>
      <c r="R19" s="2" t="s">
        <v>25</v>
      </c>
      <c r="S19" s="2" t="s">
        <v>25</v>
      </c>
      <c r="T19" s="9" t="s">
        <v>42</v>
      </c>
    </row>
    <row r="20">
      <c r="A20" s="2" t="s">
        <v>112</v>
      </c>
      <c r="B20" s="3" t="s">
        <v>37</v>
      </c>
      <c r="C20" s="4" t="s">
        <v>108</v>
      </c>
      <c r="D20" s="2" t="s">
        <v>113</v>
      </c>
      <c r="E20" s="2" t="s">
        <v>114</v>
      </c>
      <c r="F20" s="6" t="s">
        <v>25</v>
      </c>
      <c r="G20" s="6" t="s">
        <v>25</v>
      </c>
      <c r="H20" s="6" t="s">
        <v>25</v>
      </c>
      <c r="I20" s="6" t="s">
        <v>25</v>
      </c>
      <c r="J20" s="6">
        <v>11.2</v>
      </c>
      <c r="K20" s="6" t="s">
        <v>25</v>
      </c>
      <c r="L20" s="7" t="s">
        <v>25</v>
      </c>
      <c r="M20" s="6" t="s">
        <v>25</v>
      </c>
      <c r="N20" s="7" t="s">
        <v>25</v>
      </c>
      <c r="O20" s="2" t="s">
        <v>115</v>
      </c>
      <c r="P20" s="2" t="s">
        <v>25</v>
      </c>
      <c r="Q20" s="8" t="s">
        <v>28</v>
      </c>
      <c r="R20" s="2" t="s">
        <v>25</v>
      </c>
      <c r="S20" s="2" t="s">
        <v>25</v>
      </c>
      <c r="T20" s="9" t="s">
        <v>42</v>
      </c>
    </row>
    <row r="21" ht="15.75" customHeight="1">
      <c r="A21" s="2" t="s">
        <v>116</v>
      </c>
      <c r="B21" s="3" t="s">
        <v>101</v>
      </c>
      <c r="C21" s="4" t="s">
        <v>117</v>
      </c>
      <c r="D21" s="2" t="s">
        <v>25</v>
      </c>
      <c r="E21" s="2" t="s">
        <v>118</v>
      </c>
      <c r="F21" s="6" t="s">
        <v>25</v>
      </c>
      <c r="G21" s="6">
        <v>16.0</v>
      </c>
      <c r="H21" s="6" t="s">
        <v>25</v>
      </c>
      <c r="I21" s="6">
        <v>14.0</v>
      </c>
      <c r="J21" s="6">
        <v>16.0</v>
      </c>
      <c r="K21" s="6" t="s">
        <v>25</v>
      </c>
      <c r="L21" s="7">
        <v>129.0</v>
      </c>
      <c r="M21" s="6" t="s">
        <v>25</v>
      </c>
      <c r="N21" s="7">
        <v>3.0</v>
      </c>
      <c r="O21" s="2" t="s">
        <v>119</v>
      </c>
      <c r="P21" s="2" t="s">
        <v>27</v>
      </c>
      <c r="Q21" s="8" t="s">
        <v>28</v>
      </c>
      <c r="R21" s="2" t="s">
        <v>25</v>
      </c>
      <c r="S21" s="2" t="s">
        <v>25</v>
      </c>
      <c r="T21" s="9" t="s">
        <v>42</v>
      </c>
    </row>
    <row r="22" ht="15.75" customHeight="1">
      <c r="A22" s="2" t="s">
        <v>120</v>
      </c>
      <c r="B22" s="3" t="s">
        <v>121</v>
      </c>
      <c r="C22" s="4" t="s">
        <v>122</v>
      </c>
      <c r="D22" s="2" t="s">
        <v>123</v>
      </c>
      <c r="E22" s="2" t="s">
        <v>124</v>
      </c>
      <c r="F22" s="6" t="s">
        <v>25</v>
      </c>
      <c r="G22" s="6">
        <v>1.45</v>
      </c>
      <c r="H22" s="6" t="s">
        <v>25</v>
      </c>
      <c r="I22" s="6">
        <v>14.0</v>
      </c>
      <c r="J22" s="6">
        <v>1.45</v>
      </c>
      <c r="K22" s="6" t="s">
        <v>25</v>
      </c>
      <c r="L22" s="7">
        <v>2.0</v>
      </c>
      <c r="M22" s="6" t="s">
        <v>25</v>
      </c>
      <c r="N22" s="7" t="s">
        <v>25</v>
      </c>
      <c r="O22" s="2" t="s">
        <v>125</v>
      </c>
      <c r="P22" s="2" t="s">
        <v>27</v>
      </c>
      <c r="Q22" s="8" t="s">
        <v>28</v>
      </c>
      <c r="R22" s="2" t="s">
        <v>25</v>
      </c>
      <c r="S22" s="2" t="s">
        <v>25</v>
      </c>
      <c r="T22" s="9" t="s">
        <v>42</v>
      </c>
    </row>
    <row r="23" ht="15.75" customHeight="1">
      <c r="A23" s="2" t="s">
        <v>126</v>
      </c>
      <c r="B23" s="3" t="s">
        <v>21</v>
      </c>
      <c r="C23" s="4" t="s">
        <v>127</v>
      </c>
      <c r="D23" s="2" t="s">
        <v>128</v>
      </c>
      <c r="E23" s="2" t="s">
        <v>129</v>
      </c>
      <c r="F23" s="6" t="s">
        <v>25</v>
      </c>
      <c r="G23" s="6" t="s">
        <v>25</v>
      </c>
      <c r="H23" s="6">
        <v>1.7</v>
      </c>
      <c r="I23" s="6">
        <v>18.0</v>
      </c>
      <c r="J23" s="6">
        <v>1.7</v>
      </c>
      <c r="K23" s="6" t="s">
        <v>25</v>
      </c>
      <c r="L23" s="7">
        <v>4.0</v>
      </c>
      <c r="M23" s="6" t="s">
        <v>25</v>
      </c>
      <c r="N23" s="7" t="s">
        <v>25</v>
      </c>
      <c r="O23" s="2" t="s">
        <v>130</v>
      </c>
      <c r="P23" s="2" t="s">
        <v>27</v>
      </c>
      <c r="Q23" s="8" t="s">
        <v>28</v>
      </c>
      <c r="R23" s="2" t="s">
        <v>25</v>
      </c>
      <c r="S23" s="2" t="s">
        <v>25</v>
      </c>
      <c r="T23" s="9" t="s">
        <v>42</v>
      </c>
    </row>
    <row r="24" ht="15.75" customHeight="1">
      <c r="A24" s="2" t="s">
        <v>131</v>
      </c>
      <c r="B24" s="3" t="s">
        <v>37</v>
      </c>
      <c r="C24" s="3" t="s">
        <v>38</v>
      </c>
      <c r="D24" s="2" t="s">
        <v>132</v>
      </c>
      <c r="E24" s="2" t="s">
        <v>133</v>
      </c>
      <c r="F24" s="6" t="s">
        <v>25</v>
      </c>
      <c r="G24" s="6" t="s">
        <v>25</v>
      </c>
      <c r="H24" s="6" t="s">
        <v>25</v>
      </c>
      <c r="I24" s="6" t="s">
        <v>25</v>
      </c>
      <c r="J24" s="6" t="s">
        <v>25</v>
      </c>
      <c r="K24" s="6" t="s">
        <v>25</v>
      </c>
      <c r="L24" s="7">
        <v>127.0</v>
      </c>
      <c r="M24" s="6" t="s">
        <v>25</v>
      </c>
      <c r="N24" s="7" t="s">
        <v>25</v>
      </c>
      <c r="O24" s="2" t="s">
        <v>134</v>
      </c>
      <c r="P24" s="2" t="s">
        <v>25</v>
      </c>
      <c r="Q24" s="8" t="s">
        <v>28</v>
      </c>
      <c r="R24" s="2" t="s">
        <v>25</v>
      </c>
      <c r="S24" s="2" t="s">
        <v>25</v>
      </c>
      <c r="T24" s="9" t="s">
        <v>42</v>
      </c>
    </row>
    <row r="25" ht="15.75" customHeight="1">
      <c r="A25" s="2" t="s">
        <v>135</v>
      </c>
      <c r="B25" s="3" t="s">
        <v>37</v>
      </c>
      <c r="C25" s="3" t="s">
        <v>136</v>
      </c>
      <c r="D25" s="2" t="s">
        <v>137</v>
      </c>
      <c r="E25" s="2" t="s">
        <v>138</v>
      </c>
      <c r="F25" s="6" t="s">
        <v>25</v>
      </c>
      <c r="G25" s="6" t="s">
        <v>25</v>
      </c>
      <c r="H25" s="6" t="s">
        <v>25</v>
      </c>
      <c r="I25" s="6" t="s">
        <v>25</v>
      </c>
      <c r="J25" s="6">
        <v>8.2</v>
      </c>
      <c r="K25" s="6" t="s">
        <v>139</v>
      </c>
      <c r="L25" s="7">
        <v>19.0</v>
      </c>
      <c r="M25" s="6" t="s">
        <v>25</v>
      </c>
      <c r="N25" s="7" t="s">
        <v>25</v>
      </c>
      <c r="O25" s="2" t="s">
        <v>140</v>
      </c>
      <c r="P25" s="2" t="s">
        <v>25</v>
      </c>
      <c r="Q25" s="8" t="s">
        <v>28</v>
      </c>
      <c r="R25" s="2" t="s">
        <v>25</v>
      </c>
      <c r="S25" s="2" t="s">
        <v>25</v>
      </c>
      <c r="T25" s="9" t="s">
        <v>42</v>
      </c>
    </row>
    <row r="26" ht="15.75" customHeight="1">
      <c r="A26" s="2" t="s">
        <v>141</v>
      </c>
      <c r="B26" s="3" t="s">
        <v>21</v>
      </c>
      <c r="C26" s="4" t="s">
        <v>142</v>
      </c>
      <c r="D26" s="2" t="s">
        <v>25</v>
      </c>
      <c r="E26" s="2" t="s">
        <v>143</v>
      </c>
      <c r="F26" s="6" t="s">
        <v>25</v>
      </c>
      <c r="G26" s="6" t="s">
        <v>25</v>
      </c>
      <c r="H26" s="6" t="s">
        <v>25</v>
      </c>
      <c r="I26" s="6" t="s">
        <v>25</v>
      </c>
      <c r="J26" s="6" t="s">
        <v>25</v>
      </c>
      <c r="K26" s="6">
        <v>8.36</v>
      </c>
      <c r="L26" s="7">
        <v>86.0</v>
      </c>
      <c r="M26" s="6" t="s">
        <v>25</v>
      </c>
      <c r="N26" s="7" t="s">
        <v>25</v>
      </c>
      <c r="O26" s="2" t="s">
        <v>144</v>
      </c>
      <c r="P26" s="2" t="s">
        <v>25</v>
      </c>
      <c r="Q26" s="8" t="s">
        <v>28</v>
      </c>
      <c r="R26" s="2" t="s">
        <v>25</v>
      </c>
      <c r="S26" s="2" t="s">
        <v>25</v>
      </c>
      <c r="T26" s="9" t="s">
        <v>42</v>
      </c>
    </row>
    <row r="27" ht="15.75" customHeight="1">
      <c r="A27" s="2" t="s">
        <v>145</v>
      </c>
      <c r="B27" s="4" t="s">
        <v>31</v>
      </c>
      <c r="C27" s="4" t="s">
        <v>142</v>
      </c>
      <c r="D27" s="2" t="s">
        <v>25</v>
      </c>
      <c r="E27" s="2" t="s">
        <v>146</v>
      </c>
      <c r="F27" s="6" t="s">
        <v>25</v>
      </c>
      <c r="G27" s="6" t="s">
        <v>25</v>
      </c>
      <c r="H27" s="6" t="s">
        <v>25</v>
      </c>
      <c r="I27" s="6" t="s">
        <v>25</v>
      </c>
      <c r="J27" s="6" t="s">
        <v>25</v>
      </c>
      <c r="K27" s="6">
        <v>6.19</v>
      </c>
      <c r="L27" s="7">
        <v>95.0</v>
      </c>
      <c r="M27" s="6" t="s">
        <v>25</v>
      </c>
      <c r="N27" s="7" t="s">
        <v>25</v>
      </c>
      <c r="O27" s="2" t="s">
        <v>147</v>
      </c>
      <c r="P27" s="2" t="s">
        <v>25</v>
      </c>
      <c r="Q27" s="8" t="s">
        <v>28</v>
      </c>
      <c r="R27" s="2" t="s">
        <v>25</v>
      </c>
      <c r="S27" s="2" t="s">
        <v>25</v>
      </c>
      <c r="T27" s="9" t="s">
        <v>42</v>
      </c>
    </row>
    <row r="28" ht="15.75" customHeight="1">
      <c r="A28" s="2" t="s">
        <v>148</v>
      </c>
      <c r="B28" s="3" t="s">
        <v>21</v>
      </c>
      <c r="C28" s="4" t="s">
        <v>149</v>
      </c>
      <c r="D28" s="2" t="s">
        <v>150</v>
      </c>
      <c r="E28" s="2" t="s">
        <v>151</v>
      </c>
      <c r="F28" s="6" t="s">
        <v>25</v>
      </c>
      <c r="G28" s="6">
        <v>2.8</v>
      </c>
      <c r="H28" s="6" t="s">
        <v>25</v>
      </c>
      <c r="I28" s="6">
        <v>14.0</v>
      </c>
      <c r="J28" s="6">
        <v>2.8</v>
      </c>
      <c r="K28" s="6">
        <v>2.21</v>
      </c>
      <c r="L28" s="7">
        <v>20.0</v>
      </c>
      <c r="M28" s="6" t="s">
        <v>25</v>
      </c>
      <c r="N28" s="7" t="s">
        <v>25</v>
      </c>
      <c r="O28" s="2" t="s">
        <v>152</v>
      </c>
      <c r="P28" s="2" t="s">
        <v>27</v>
      </c>
      <c r="Q28" s="8" t="s">
        <v>28</v>
      </c>
      <c r="R28" s="2" t="s">
        <v>25</v>
      </c>
      <c r="S28" s="2" t="s">
        <v>25</v>
      </c>
      <c r="T28" s="9" t="s">
        <v>42</v>
      </c>
    </row>
    <row r="29" ht="15.75" customHeight="1">
      <c r="A29" s="2" t="s">
        <v>153</v>
      </c>
      <c r="B29" s="3" t="s">
        <v>21</v>
      </c>
      <c r="C29" s="4" t="s">
        <v>22</v>
      </c>
      <c r="D29" s="2" t="s">
        <v>154</v>
      </c>
      <c r="E29" s="2" t="s">
        <v>155</v>
      </c>
      <c r="F29" s="6" t="s">
        <v>25</v>
      </c>
      <c r="G29" s="6" t="s">
        <v>25</v>
      </c>
      <c r="H29" s="6" t="s">
        <v>25</v>
      </c>
      <c r="I29" s="6" t="s">
        <v>25</v>
      </c>
      <c r="J29" s="6">
        <v>2.4</v>
      </c>
      <c r="K29" s="6">
        <v>0.4</v>
      </c>
      <c r="L29" s="7">
        <v>8.0</v>
      </c>
      <c r="M29" s="6" t="s">
        <v>25</v>
      </c>
      <c r="N29" s="7">
        <v>44.0</v>
      </c>
      <c r="O29" s="2" t="s">
        <v>156</v>
      </c>
      <c r="P29" s="2" t="s">
        <v>25</v>
      </c>
      <c r="Q29" s="8" t="s">
        <v>28</v>
      </c>
      <c r="R29" s="2" t="s">
        <v>25</v>
      </c>
      <c r="S29" s="2" t="s">
        <v>25</v>
      </c>
      <c r="T29" s="9" t="s">
        <v>42</v>
      </c>
    </row>
    <row r="30" ht="15.75" customHeight="1">
      <c r="A30" s="2" t="s">
        <v>157</v>
      </c>
      <c r="B30" s="4" t="s">
        <v>31</v>
      </c>
      <c r="C30" s="4" t="s">
        <v>22</v>
      </c>
      <c r="D30" s="2" t="s">
        <v>158</v>
      </c>
      <c r="E30" s="2" t="s">
        <v>159</v>
      </c>
      <c r="F30" s="6" t="s">
        <v>25</v>
      </c>
      <c r="G30" s="6" t="s">
        <v>25</v>
      </c>
      <c r="H30" s="6" t="s">
        <v>25</v>
      </c>
      <c r="I30" s="6" t="s">
        <v>25</v>
      </c>
      <c r="J30" s="6">
        <v>2.7</v>
      </c>
      <c r="K30" s="6" t="s">
        <v>25</v>
      </c>
      <c r="L30" s="7">
        <v>12.0</v>
      </c>
      <c r="M30" s="6" t="s">
        <v>25</v>
      </c>
      <c r="N30" s="7">
        <v>22.0</v>
      </c>
      <c r="O30" s="2" t="s">
        <v>160</v>
      </c>
      <c r="P30" s="2" t="s">
        <v>25</v>
      </c>
      <c r="Q30" s="8" t="s">
        <v>28</v>
      </c>
      <c r="R30" s="2" t="s">
        <v>25</v>
      </c>
      <c r="S30" s="2" t="s">
        <v>25</v>
      </c>
      <c r="T30" s="9" t="s">
        <v>42</v>
      </c>
    </row>
    <row r="31" ht="15.75" customHeight="1">
      <c r="A31" s="2" t="s">
        <v>161</v>
      </c>
      <c r="B31" s="3" t="s">
        <v>162</v>
      </c>
      <c r="C31" s="4" t="s">
        <v>163</v>
      </c>
      <c r="D31" s="2" t="s">
        <v>164</v>
      </c>
      <c r="E31" s="2" t="s">
        <v>165</v>
      </c>
      <c r="F31" s="6" t="s">
        <v>25</v>
      </c>
      <c r="G31" s="6" t="s">
        <v>25</v>
      </c>
      <c r="H31" s="6">
        <v>19.0</v>
      </c>
      <c r="I31" s="6">
        <v>18.0</v>
      </c>
      <c r="J31" s="6">
        <v>19.0</v>
      </c>
      <c r="K31" s="6" t="s">
        <v>25</v>
      </c>
      <c r="L31" s="7">
        <v>70.0</v>
      </c>
      <c r="M31" s="6" t="s">
        <v>25</v>
      </c>
      <c r="N31" s="7">
        <v>35.0</v>
      </c>
      <c r="O31" s="2" t="s">
        <v>166</v>
      </c>
      <c r="P31" s="2" t="s">
        <v>27</v>
      </c>
      <c r="Q31" s="8" t="s">
        <v>28</v>
      </c>
      <c r="R31" s="2" t="s">
        <v>25</v>
      </c>
      <c r="S31" s="2" t="s">
        <v>25</v>
      </c>
      <c r="T31" s="9" t="s">
        <v>42</v>
      </c>
    </row>
    <row r="32" ht="15.75" customHeight="1">
      <c r="A32" s="2" t="s">
        <v>167</v>
      </c>
      <c r="B32" s="3" t="s">
        <v>101</v>
      </c>
      <c r="C32" s="4" t="s">
        <v>117</v>
      </c>
      <c r="D32" s="2" t="s">
        <v>168</v>
      </c>
      <c r="E32" s="2" t="s">
        <v>169</v>
      </c>
      <c r="F32" s="6" t="s">
        <v>25</v>
      </c>
      <c r="G32" s="6">
        <v>9.6</v>
      </c>
      <c r="H32" s="6" t="s">
        <v>25</v>
      </c>
      <c r="I32" s="6">
        <v>14.0</v>
      </c>
      <c r="J32" s="6">
        <v>9.6</v>
      </c>
      <c r="K32" s="6">
        <v>5.137</v>
      </c>
      <c r="L32" s="7">
        <v>192.0</v>
      </c>
      <c r="M32" s="6" t="s">
        <v>25</v>
      </c>
      <c r="N32" s="7" t="s">
        <v>25</v>
      </c>
      <c r="O32" s="2" t="s">
        <v>170</v>
      </c>
      <c r="P32" s="2" t="s">
        <v>27</v>
      </c>
      <c r="Q32" s="8" t="s">
        <v>28</v>
      </c>
      <c r="R32" s="2" t="s">
        <v>25</v>
      </c>
      <c r="S32" s="2" t="s">
        <v>25</v>
      </c>
      <c r="T32" s="9" t="s">
        <v>42</v>
      </c>
    </row>
    <row r="33" ht="15.75" customHeight="1">
      <c r="A33" s="9" t="s">
        <v>171</v>
      </c>
      <c r="B33" s="14"/>
      <c r="C33" s="14"/>
      <c r="D33" s="9"/>
      <c r="E33" s="10" t="str">
        <f>HYPERLINK("https://drive.google.com/drive/search?q=P032","Find CAD image")</f>
        <v>Find CAD image</v>
      </c>
      <c r="F33" s="11"/>
      <c r="G33" s="11"/>
      <c r="H33" s="11"/>
      <c r="I33" s="11"/>
      <c r="J33" s="11"/>
      <c r="K33" s="11"/>
      <c r="L33" s="12"/>
      <c r="M33" s="11"/>
      <c r="N33" s="12"/>
      <c r="O33" s="9" t="s">
        <v>79</v>
      </c>
      <c r="P33" s="9" t="s">
        <v>27</v>
      </c>
      <c r="Q33" s="13"/>
      <c r="R33" s="9" t="s">
        <v>80</v>
      </c>
      <c r="S33" s="9"/>
      <c r="T33" s="9" t="s">
        <v>42</v>
      </c>
    </row>
    <row r="34" ht="15.75" customHeight="1">
      <c r="A34" s="2" t="s">
        <v>172</v>
      </c>
      <c r="B34" s="3" t="s">
        <v>37</v>
      </c>
      <c r="C34" s="3" t="s">
        <v>38</v>
      </c>
      <c r="D34" s="2" t="s">
        <v>173</v>
      </c>
      <c r="E34" s="2" t="s">
        <v>174</v>
      </c>
      <c r="F34" s="6" t="s">
        <v>25</v>
      </c>
      <c r="G34" s="6" t="s">
        <v>25</v>
      </c>
      <c r="H34" s="6">
        <v>9.0</v>
      </c>
      <c r="I34" s="6">
        <v>18.0</v>
      </c>
      <c r="J34" s="6">
        <v>9.0</v>
      </c>
      <c r="K34" s="6" t="s">
        <v>25</v>
      </c>
      <c r="L34" s="7">
        <v>11.0</v>
      </c>
      <c r="M34" s="6" t="s">
        <v>25</v>
      </c>
      <c r="N34" s="7" t="s">
        <v>25</v>
      </c>
      <c r="O34" s="2" t="s">
        <v>175</v>
      </c>
      <c r="P34" s="2" t="s">
        <v>27</v>
      </c>
      <c r="Q34" s="8" t="s">
        <v>28</v>
      </c>
      <c r="R34" s="2" t="s">
        <v>25</v>
      </c>
      <c r="S34" s="2" t="s">
        <v>25</v>
      </c>
      <c r="T34" s="9" t="s">
        <v>42</v>
      </c>
    </row>
    <row r="35" ht="15.75" customHeight="1">
      <c r="A35" s="9" t="s">
        <v>176</v>
      </c>
      <c r="B35" s="14"/>
      <c r="C35" s="14"/>
      <c r="D35" s="9"/>
      <c r="E35" s="10" t="str">
        <f>HYPERLINK("https://drive.google.com/drive/search?q=P034","Find CAD image")</f>
        <v>Find CAD image</v>
      </c>
      <c r="F35" s="11"/>
      <c r="G35" s="11"/>
      <c r="H35" s="11"/>
      <c r="I35" s="11"/>
      <c r="J35" s="11"/>
      <c r="K35" s="11"/>
      <c r="L35" s="12"/>
      <c r="M35" s="11"/>
      <c r="N35" s="12"/>
      <c r="O35" s="9" t="s">
        <v>79</v>
      </c>
      <c r="P35" s="9" t="s">
        <v>27</v>
      </c>
      <c r="Q35" s="13"/>
      <c r="R35" s="9" t="s">
        <v>80</v>
      </c>
      <c r="S35" s="9"/>
      <c r="T35" s="9" t="s">
        <v>42</v>
      </c>
    </row>
    <row r="36" ht="15.75" customHeight="1">
      <c r="A36" s="2" t="s">
        <v>177</v>
      </c>
      <c r="B36" s="3" t="s">
        <v>121</v>
      </c>
      <c r="C36" s="4" t="s">
        <v>178</v>
      </c>
      <c r="D36" s="2" t="s">
        <v>179</v>
      </c>
      <c r="E36" s="2" t="s">
        <v>180</v>
      </c>
      <c r="F36" s="6" t="s">
        <v>25</v>
      </c>
      <c r="G36" s="6" t="s">
        <v>25</v>
      </c>
      <c r="H36" s="6">
        <v>0.6</v>
      </c>
      <c r="I36" s="6">
        <v>18.0</v>
      </c>
      <c r="J36" s="6">
        <v>0.6</v>
      </c>
      <c r="K36" s="6">
        <v>0.69</v>
      </c>
      <c r="L36" s="7">
        <v>2.0</v>
      </c>
      <c r="M36" s="6" t="s">
        <v>25</v>
      </c>
      <c r="N36" s="7" t="s">
        <v>25</v>
      </c>
      <c r="O36" s="2" t="s">
        <v>181</v>
      </c>
      <c r="P36" s="2" t="s">
        <v>27</v>
      </c>
      <c r="Q36" s="13"/>
      <c r="R36" s="2" t="s">
        <v>25</v>
      </c>
      <c r="S36" s="2" t="s">
        <v>25</v>
      </c>
      <c r="T36" s="9" t="s">
        <v>42</v>
      </c>
    </row>
    <row r="37" ht="15.75" customHeight="1">
      <c r="A37" s="15" t="s">
        <v>182</v>
      </c>
      <c r="B37" s="4" t="s">
        <v>183</v>
      </c>
      <c r="C37" s="4" t="s">
        <v>184</v>
      </c>
      <c r="D37" s="15" t="s">
        <v>185</v>
      </c>
      <c r="E37" s="15" t="s">
        <v>186</v>
      </c>
      <c r="F37" s="6" t="s">
        <v>25</v>
      </c>
      <c r="G37" s="6" t="s">
        <v>25</v>
      </c>
      <c r="H37" s="6">
        <v>11.4</v>
      </c>
      <c r="I37" s="6">
        <v>18.0</v>
      </c>
      <c r="J37" s="6">
        <v>11.4</v>
      </c>
      <c r="K37" s="6">
        <v>8.38</v>
      </c>
      <c r="L37" s="7">
        <v>28.0</v>
      </c>
      <c r="M37" s="6" t="s">
        <v>25</v>
      </c>
      <c r="N37" s="7" t="s">
        <v>25</v>
      </c>
      <c r="O37" s="15" t="s">
        <v>187</v>
      </c>
      <c r="P37" s="15" t="s">
        <v>27</v>
      </c>
      <c r="Q37" s="8" t="s">
        <v>28</v>
      </c>
      <c r="R37" s="15" t="s">
        <v>25</v>
      </c>
      <c r="S37" s="15" t="s">
        <v>25</v>
      </c>
      <c r="T37" s="9" t="s">
        <v>42</v>
      </c>
    </row>
    <row r="38" ht="15.75" customHeight="1">
      <c r="A38" s="2" t="s">
        <v>188</v>
      </c>
      <c r="B38" s="4" t="s">
        <v>183</v>
      </c>
      <c r="C38" s="4" t="s">
        <v>189</v>
      </c>
      <c r="D38" s="2" t="s">
        <v>190</v>
      </c>
      <c r="E38" s="2" t="s">
        <v>191</v>
      </c>
      <c r="F38" s="6" t="s">
        <v>25</v>
      </c>
      <c r="G38" s="6" t="s">
        <v>25</v>
      </c>
      <c r="H38" s="6">
        <v>6.0</v>
      </c>
      <c r="I38" s="6">
        <v>18.0</v>
      </c>
      <c r="J38" s="6">
        <v>6.0</v>
      </c>
      <c r="K38" s="6" t="s">
        <v>192</v>
      </c>
      <c r="L38" s="7" t="s">
        <v>25</v>
      </c>
      <c r="M38" s="6" t="s">
        <v>25</v>
      </c>
      <c r="N38" s="7">
        <v>1.0</v>
      </c>
      <c r="O38" s="2" t="s">
        <v>193</v>
      </c>
      <c r="P38" s="2" t="s">
        <v>27</v>
      </c>
      <c r="Q38" s="8" t="s">
        <v>28</v>
      </c>
      <c r="R38" s="2" t="s">
        <v>25</v>
      </c>
      <c r="S38" s="2" t="s">
        <v>25</v>
      </c>
      <c r="T38" s="9" t="s">
        <v>42</v>
      </c>
    </row>
    <row r="39" ht="15.75" customHeight="1">
      <c r="A39" s="2" t="s">
        <v>194</v>
      </c>
      <c r="B39" s="3" t="s">
        <v>101</v>
      </c>
      <c r="C39" s="4" t="s">
        <v>102</v>
      </c>
      <c r="D39" s="2" t="s">
        <v>25</v>
      </c>
      <c r="E39" s="2" t="s">
        <v>195</v>
      </c>
      <c r="F39" s="6" t="s">
        <v>25</v>
      </c>
      <c r="G39" s="6">
        <v>14.0</v>
      </c>
      <c r="H39" s="6" t="s">
        <v>25</v>
      </c>
      <c r="I39" s="6">
        <v>14.0</v>
      </c>
      <c r="J39" s="6">
        <v>14.0</v>
      </c>
      <c r="K39" s="6" t="s">
        <v>196</v>
      </c>
      <c r="L39" s="7">
        <v>83.0</v>
      </c>
      <c r="M39" s="6" t="s">
        <v>25</v>
      </c>
      <c r="N39" s="7">
        <v>1.0</v>
      </c>
      <c r="O39" s="2" t="s">
        <v>197</v>
      </c>
      <c r="P39" s="2" t="s">
        <v>27</v>
      </c>
      <c r="Q39" s="8" t="s">
        <v>28</v>
      </c>
      <c r="R39" s="2" t="s">
        <v>25</v>
      </c>
      <c r="S39" s="2" t="s">
        <v>25</v>
      </c>
      <c r="T39" s="9" t="s">
        <v>42</v>
      </c>
    </row>
    <row r="40" ht="15.75" customHeight="1">
      <c r="A40" s="9" t="s">
        <v>198</v>
      </c>
      <c r="B40" s="14"/>
      <c r="C40" s="14"/>
      <c r="D40" s="9"/>
      <c r="E40" s="10" t="str">
        <f>HYPERLINK("https://drive.google.com/drive/search?q=P039","Find CAD image")</f>
        <v>Find CAD image</v>
      </c>
      <c r="F40" s="11"/>
      <c r="G40" s="11"/>
      <c r="H40" s="11"/>
      <c r="I40" s="11"/>
      <c r="J40" s="11"/>
      <c r="K40" s="11"/>
      <c r="L40" s="12"/>
      <c r="M40" s="11"/>
      <c r="N40" s="12"/>
      <c r="O40" s="9" t="s">
        <v>79</v>
      </c>
      <c r="P40" s="9" t="s">
        <v>27</v>
      </c>
      <c r="Q40" s="13"/>
      <c r="R40" s="9" t="s">
        <v>80</v>
      </c>
      <c r="S40" s="9"/>
      <c r="T40" s="9" t="s">
        <v>42</v>
      </c>
    </row>
    <row r="41" ht="15.75" customHeight="1">
      <c r="A41" s="2" t="s">
        <v>199</v>
      </c>
      <c r="B41" s="4" t="s">
        <v>183</v>
      </c>
      <c r="C41" s="4" t="s">
        <v>200</v>
      </c>
      <c r="D41" s="2" t="s">
        <v>201</v>
      </c>
      <c r="E41" s="2" t="s">
        <v>202</v>
      </c>
      <c r="F41" s="6" t="s">
        <v>25</v>
      </c>
      <c r="G41" s="6">
        <v>3.8</v>
      </c>
      <c r="H41" s="6" t="s">
        <v>25</v>
      </c>
      <c r="I41" s="6">
        <v>14.0</v>
      </c>
      <c r="J41" s="6">
        <v>3.8</v>
      </c>
      <c r="K41" s="6">
        <v>2.916</v>
      </c>
      <c r="L41" s="7">
        <v>42.0</v>
      </c>
      <c r="M41" s="6" t="s">
        <v>25</v>
      </c>
      <c r="N41" s="7" t="s">
        <v>25</v>
      </c>
      <c r="O41" s="2" t="s">
        <v>203</v>
      </c>
      <c r="P41" s="2" t="s">
        <v>27</v>
      </c>
      <c r="Q41" s="8" t="s">
        <v>28</v>
      </c>
      <c r="R41" s="2" t="s">
        <v>25</v>
      </c>
      <c r="S41" s="2" t="s">
        <v>25</v>
      </c>
      <c r="T41" s="9" t="s">
        <v>42</v>
      </c>
    </row>
    <row r="42" ht="15.75" customHeight="1">
      <c r="A42" s="2" t="s">
        <v>204</v>
      </c>
      <c r="B42" s="3" t="s">
        <v>37</v>
      </c>
      <c r="C42" s="4" t="s">
        <v>205</v>
      </c>
      <c r="D42" s="2" t="s">
        <v>206</v>
      </c>
      <c r="E42" s="2" t="s">
        <v>207</v>
      </c>
      <c r="F42" s="6" t="s">
        <v>25</v>
      </c>
      <c r="G42" s="6" t="s">
        <v>25</v>
      </c>
      <c r="H42" s="6" t="s">
        <v>25</v>
      </c>
      <c r="I42" s="6" t="s">
        <v>25</v>
      </c>
      <c r="J42" s="6" t="s">
        <v>25</v>
      </c>
      <c r="K42" s="6">
        <v>1.69</v>
      </c>
      <c r="L42" s="7">
        <v>3.0</v>
      </c>
      <c r="M42" s="6" t="s">
        <v>25</v>
      </c>
      <c r="N42" s="7" t="s">
        <v>25</v>
      </c>
      <c r="O42" s="2" t="s">
        <v>208</v>
      </c>
      <c r="P42" s="2" t="s">
        <v>25</v>
      </c>
      <c r="Q42" s="8" t="s">
        <v>28</v>
      </c>
      <c r="R42" s="2" t="s">
        <v>25</v>
      </c>
      <c r="S42" s="2" t="s">
        <v>25</v>
      </c>
      <c r="T42" s="9" t="s">
        <v>42</v>
      </c>
    </row>
    <row r="43" ht="15.75" customHeight="1">
      <c r="A43" s="2" t="s">
        <v>209</v>
      </c>
      <c r="B43" s="3" t="s">
        <v>162</v>
      </c>
      <c r="C43" s="3" t="s">
        <v>163</v>
      </c>
      <c r="D43" s="2" t="s">
        <v>164</v>
      </c>
      <c r="E43" s="2" t="s">
        <v>210</v>
      </c>
      <c r="F43" s="6" t="s">
        <v>25</v>
      </c>
      <c r="G43" s="6" t="s">
        <v>25</v>
      </c>
      <c r="H43" s="6">
        <v>16.0</v>
      </c>
      <c r="I43" s="6">
        <v>18.0</v>
      </c>
      <c r="J43" s="6">
        <v>16.0</v>
      </c>
      <c r="K43" s="6" t="s">
        <v>25</v>
      </c>
      <c r="L43" s="7">
        <v>37.0</v>
      </c>
      <c r="M43" s="6" t="s">
        <v>25</v>
      </c>
      <c r="N43" s="7" t="s">
        <v>25</v>
      </c>
      <c r="O43" s="2" t="s">
        <v>211</v>
      </c>
      <c r="P43" s="2" t="s">
        <v>27</v>
      </c>
      <c r="Q43" s="8" t="s">
        <v>28</v>
      </c>
      <c r="R43" s="2" t="s">
        <v>25</v>
      </c>
      <c r="S43" s="2" t="s">
        <v>25</v>
      </c>
      <c r="T43" s="9" t="s">
        <v>42</v>
      </c>
    </row>
    <row r="44" ht="15.75" customHeight="1">
      <c r="A44" s="2" t="s">
        <v>212</v>
      </c>
      <c r="B44" s="3" t="s">
        <v>162</v>
      </c>
      <c r="C44" s="3" t="s">
        <v>163</v>
      </c>
      <c r="D44" s="2" t="s">
        <v>164</v>
      </c>
      <c r="E44" s="2" t="s">
        <v>213</v>
      </c>
      <c r="F44" s="6" t="s">
        <v>25</v>
      </c>
      <c r="G44" s="6" t="s">
        <v>25</v>
      </c>
      <c r="H44" s="6">
        <v>17.0</v>
      </c>
      <c r="I44" s="6" t="s">
        <v>25</v>
      </c>
      <c r="J44" s="6">
        <v>17.0</v>
      </c>
      <c r="K44" s="6" t="s">
        <v>25</v>
      </c>
      <c r="L44" s="7">
        <v>43.0</v>
      </c>
      <c r="M44" s="6" t="s">
        <v>25</v>
      </c>
      <c r="N44" s="7" t="s">
        <v>25</v>
      </c>
      <c r="O44" s="2" t="s">
        <v>214</v>
      </c>
      <c r="P44" s="2" t="s">
        <v>25</v>
      </c>
      <c r="Q44" s="8" t="s">
        <v>28</v>
      </c>
      <c r="R44" s="2" t="s">
        <v>25</v>
      </c>
      <c r="S44" s="2" t="s">
        <v>25</v>
      </c>
      <c r="T44" s="9" t="s">
        <v>42</v>
      </c>
    </row>
    <row r="45" ht="15.75" customHeight="1">
      <c r="A45" s="9" t="s">
        <v>215</v>
      </c>
      <c r="B45" s="14"/>
      <c r="C45" s="14"/>
      <c r="D45" s="9"/>
      <c r="E45" s="10" t="str">
        <f>HYPERLINK("https://drive.google.com/drive/search?q=P044","Find CAD image")</f>
        <v>Find CAD image</v>
      </c>
      <c r="F45" s="11"/>
      <c r="G45" s="11"/>
      <c r="H45" s="11"/>
      <c r="I45" s="11"/>
      <c r="J45" s="11"/>
      <c r="K45" s="11"/>
      <c r="L45" s="12"/>
      <c r="M45" s="11"/>
      <c r="N45" s="12"/>
      <c r="O45" s="9" t="s">
        <v>79</v>
      </c>
      <c r="P45" s="9" t="s">
        <v>27</v>
      </c>
      <c r="Q45" s="13"/>
      <c r="R45" s="9" t="s">
        <v>80</v>
      </c>
      <c r="S45" s="9"/>
      <c r="T45" s="9" t="s">
        <v>42</v>
      </c>
    </row>
    <row r="46" ht="15.75" customHeight="1">
      <c r="A46" s="9" t="s">
        <v>216</v>
      </c>
      <c r="B46" s="14"/>
      <c r="C46" s="14"/>
      <c r="D46" s="9"/>
      <c r="E46" s="10" t="str">
        <f>HYPERLINK("https://drive.google.com/drive/search?q=P045","Find CAD image")</f>
        <v>Find CAD image</v>
      </c>
      <c r="F46" s="11"/>
      <c r="G46" s="11"/>
      <c r="H46" s="11"/>
      <c r="I46" s="11"/>
      <c r="J46" s="11"/>
      <c r="K46" s="11"/>
      <c r="L46" s="12"/>
      <c r="M46" s="11"/>
      <c r="N46" s="12"/>
      <c r="O46" s="9" t="s">
        <v>79</v>
      </c>
      <c r="P46" s="9" t="s">
        <v>27</v>
      </c>
      <c r="Q46" s="13"/>
      <c r="R46" s="9" t="s">
        <v>80</v>
      </c>
      <c r="S46" s="9"/>
      <c r="T46" s="9" t="s">
        <v>42</v>
      </c>
    </row>
    <row r="47" ht="15.75" customHeight="1">
      <c r="A47" s="2" t="s">
        <v>217</v>
      </c>
      <c r="B47" s="4" t="s">
        <v>218</v>
      </c>
      <c r="C47" s="4" t="s">
        <v>219</v>
      </c>
      <c r="D47" s="2" t="s">
        <v>220</v>
      </c>
      <c r="E47" s="2" t="s">
        <v>221</v>
      </c>
      <c r="F47" s="6" t="s">
        <v>25</v>
      </c>
      <c r="G47" s="6" t="s">
        <v>25</v>
      </c>
      <c r="H47" s="6">
        <v>0.63</v>
      </c>
      <c r="I47" s="6">
        <v>18.0</v>
      </c>
      <c r="J47" s="6">
        <v>0.63</v>
      </c>
      <c r="K47" s="6">
        <v>2.03</v>
      </c>
      <c r="L47" s="7">
        <v>2.0</v>
      </c>
      <c r="M47" s="6" t="s">
        <v>25</v>
      </c>
      <c r="N47" s="7" t="s">
        <v>25</v>
      </c>
      <c r="O47" s="2" t="s">
        <v>222</v>
      </c>
      <c r="P47" s="2" t="s">
        <v>27</v>
      </c>
      <c r="Q47" s="8" t="s">
        <v>28</v>
      </c>
      <c r="R47" s="2" t="s">
        <v>25</v>
      </c>
      <c r="S47" s="2" t="s">
        <v>25</v>
      </c>
      <c r="T47" s="9" t="s">
        <v>42</v>
      </c>
    </row>
    <row r="48" ht="15.75" customHeight="1">
      <c r="A48" s="2" t="s">
        <v>223</v>
      </c>
      <c r="B48" s="4" t="s">
        <v>218</v>
      </c>
      <c r="C48" s="4" t="s">
        <v>224</v>
      </c>
      <c r="D48" s="2" t="s">
        <v>225</v>
      </c>
      <c r="E48" s="2" t="s">
        <v>226</v>
      </c>
      <c r="F48" s="6" t="s">
        <v>25</v>
      </c>
      <c r="G48" s="6" t="s">
        <v>25</v>
      </c>
      <c r="H48" s="6">
        <v>0.44</v>
      </c>
      <c r="I48" s="6">
        <v>18.0</v>
      </c>
      <c r="J48" s="6">
        <v>0.44</v>
      </c>
      <c r="K48" s="6">
        <v>1.53</v>
      </c>
      <c r="L48" s="7">
        <v>1.0</v>
      </c>
      <c r="M48" s="6" t="s">
        <v>25</v>
      </c>
      <c r="N48" s="7" t="s">
        <v>25</v>
      </c>
      <c r="O48" s="2" t="s">
        <v>227</v>
      </c>
      <c r="P48" s="2" t="s">
        <v>27</v>
      </c>
      <c r="Q48" s="8" t="s">
        <v>28</v>
      </c>
      <c r="R48" s="2" t="s">
        <v>25</v>
      </c>
      <c r="S48" s="2" t="s">
        <v>25</v>
      </c>
      <c r="T48" s="9" t="s">
        <v>42</v>
      </c>
    </row>
    <row r="49" ht="15.75" customHeight="1">
      <c r="A49" s="2" t="s">
        <v>228</v>
      </c>
      <c r="B49" s="4" t="s">
        <v>218</v>
      </c>
      <c r="C49" s="4" t="s">
        <v>219</v>
      </c>
      <c r="D49" s="2" t="s">
        <v>229</v>
      </c>
      <c r="E49" s="2" t="s">
        <v>230</v>
      </c>
      <c r="F49" s="6" t="s">
        <v>25</v>
      </c>
      <c r="G49" s="6" t="s">
        <v>25</v>
      </c>
      <c r="H49" s="6">
        <v>1.1</v>
      </c>
      <c r="I49" s="6">
        <v>18.0</v>
      </c>
      <c r="J49" s="6">
        <v>1.1</v>
      </c>
      <c r="K49" s="6">
        <v>2.17</v>
      </c>
      <c r="L49" s="7">
        <v>2.0</v>
      </c>
      <c r="M49" s="6" t="s">
        <v>25</v>
      </c>
      <c r="N49" s="7" t="s">
        <v>25</v>
      </c>
      <c r="O49" s="2" t="s">
        <v>231</v>
      </c>
      <c r="P49" s="2" t="s">
        <v>27</v>
      </c>
      <c r="Q49" s="8" t="s">
        <v>28</v>
      </c>
      <c r="R49" s="2" t="s">
        <v>25</v>
      </c>
      <c r="S49" s="2" t="s">
        <v>25</v>
      </c>
      <c r="T49" s="9" t="s">
        <v>42</v>
      </c>
    </row>
    <row r="50" ht="15.75" customHeight="1">
      <c r="A50" s="2" t="s">
        <v>232</v>
      </c>
      <c r="B50" s="4" t="s">
        <v>218</v>
      </c>
      <c r="C50" s="4" t="s">
        <v>224</v>
      </c>
      <c r="D50" s="2" t="s">
        <v>233</v>
      </c>
      <c r="E50" s="2" t="s">
        <v>234</v>
      </c>
      <c r="F50" s="6" t="s">
        <v>25</v>
      </c>
      <c r="G50" s="6" t="s">
        <v>25</v>
      </c>
      <c r="H50" s="6">
        <v>0.81</v>
      </c>
      <c r="I50" s="6">
        <v>18.0</v>
      </c>
      <c r="J50" s="6">
        <v>0.81</v>
      </c>
      <c r="K50" s="6">
        <v>1.64</v>
      </c>
      <c r="L50" s="7">
        <v>1.0</v>
      </c>
      <c r="M50" s="6" t="s">
        <v>25</v>
      </c>
      <c r="N50" s="7" t="s">
        <v>25</v>
      </c>
      <c r="O50" s="2" t="s">
        <v>235</v>
      </c>
      <c r="P50" s="2" t="s">
        <v>27</v>
      </c>
      <c r="Q50" s="8" t="s">
        <v>28</v>
      </c>
      <c r="R50" s="2" t="s">
        <v>25</v>
      </c>
      <c r="S50" s="2" t="s">
        <v>25</v>
      </c>
      <c r="T50" s="9" t="s">
        <v>42</v>
      </c>
    </row>
    <row r="51" ht="15.75" customHeight="1">
      <c r="A51" s="2" t="s">
        <v>236</v>
      </c>
      <c r="B51" s="4" t="s">
        <v>218</v>
      </c>
      <c r="C51" s="4" t="s">
        <v>219</v>
      </c>
      <c r="D51" s="2" t="s">
        <v>237</v>
      </c>
      <c r="E51" s="2" t="s">
        <v>238</v>
      </c>
      <c r="F51" s="6" t="s">
        <v>25</v>
      </c>
      <c r="G51" s="6" t="s">
        <v>25</v>
      </c>
      <c r="H51" s="6">
        <v>1.25</v>
      </c>
      <c r="I51" s="6">
        <v>18.0</v>
      </c>
      <c r="J51" s="6">
        <v>1.25</v>
      </c>
      <c r="K51" s="6">
        <v>2.73</v>
      </c>
      <c r="L51" s="7">
        <v>2.0</v>
      </c>
      <c r="M51" s="6" t="s">
        <v>25</v>
      </c>
      <c r="N51" s="7" t="s">
        <v>25</v>
      </c>
      <c r="O51" s="2" t="s">
        <v>239</v>
      </c>
      <c r="P51" s="2" t="s">
        <v>27</v>
      </c>
      <c r="Q51" s="8" t="s">
        <v>28</v>
      </c>
      <c r="R51" s="2" t="s">
        <v>25</v>
      </c>
      <c r="S51" s="2" t="s">
        <v>25</v>
      </c>
      <c r="T51" s="9" t="s">
        <v>42</v>
      </c>
    </row>
    <row r="52" ht="15.75" customHeight="1">
      <c r="A52" s="2" t="s">
        <v>240</v>
      </c>
      <c r="B52" s="4" t="s">
        <v>218</v>
      </c>
      <c r="C52" s="4" t="s">
        <v>224</v>
      </c>
      <c r="D52" s="2" t="s">
        <v>25</v>
      </c>
      <c r="E52" s="2" t="s">
        <v>241</v>
      </c>
      <c r="F52" s="6" t="s">
        <v>25</v>
      </c>
      <c r="G52" s="6" t="s">
        <v>25</v>
      </c>
      <c r="H52" s="6" t="s">
        <v>25</v>
      </c>
      <c r="I52" s="6" t="s">
        <v>25</v>
      </c>
      <c r="J52" s="6" t="s">
        <v>25</v>
      </c>
      <c r="K52" s="6" t="s">
        <v>25</v>
      </c>
      <c r="L52" s="7" t="s">
        <v>25</v>
      </c>
      <c r="M52" s="6" t="s">
        <v>25</v>
      </c>
      <c r="N52" s="7" t="s">
        <v>25</v>
      </c>
      <c r="O52" s="2" t="s">
        <v>242</v>
      </c>
      <c r="P52" s="2" t="s">
        <v>25</v>
      </c>
      <c r="Q52" s="8" t="s">
        <v>28</v>
      </c>
      <c r="R52" s="2" t="s">
        <v>25</v>
      </c>
      <c r="S52" s="2" t="s">
        <v>25</v>
      </c>
      <c r="T52" s="9" t="s">
        <v>42</v>
      </c>
    </row>
    <row r="53" ht="15.75" customHeight="1">
      <c r="A53" s="2" t="s">
        <v>243</v>
      </c>
      <c r="B53" s="4" t="s">
        <v>218</v>
      </c>
      <c r="C53" s="4" t="s">
        <v>244</v>
      </c>
      <c r="D53" s="2" t="s">
        <v>245</v>
      </c>
      <c r="E53" s="2" t="s">
        <v>246</v>
      </c>
      <c r="F53" s="6" t="s">
        <v>25</v>
      </c>
      <c r="G53" s="6" t="s">
        <v>25</v>
      </c>
      <c r="H53" s="6">
        <v>1.9</v>
      </c>
      <c r="I53" s="6">
        <v>18.0</v>
      </c>
      <c r="J53" s="6">
        <v>1.9</v>
      </c>
      <c r="K53" s="6" t="s">
        <v>25</v>
      </c>
      <c r="L53" s="7">
        <v>2.0</v>
      </c>
      <c r="M53" s="6" t="s">
        <v>25</v>
      </c>
      <c r="N53" s="7" t="s">
        <v>25</v>
      </c>
      <c r="O53" s="2" t="s">
        <v>247</v>
      </c>
      <c r="P53" s="2" t="s">
        <v>27</v>
      </c>
      <c r="Q53" s="8" t="s">
        <v>28</v>
      </c>
      <c r="R53" s="2" t="s">
        <v>25</v>
      </c>
      <c r="S53" s="2" t="s">
        <v>25</v>
      </c>
      <c r="T53" s="9" t="s">
        <v>42</v>
      </c>
    </row>
    <row r="54" ht="15.75" customHeight="1">
      <c r="A54" s="2" t="s">
        <v>248</v>
      </c>
      <c r="B54" s="4" t="s">
        <v>218</v>
      </c>
      <c r="C54" s="4" t="s">
        <v>224</v>
      </c>
      <c r="D54" s="2" t="s">
        <v>249</v>
      </c>
      <c r="E54" s="2" t="s">
        <v>250</v>
      </c>
      <c r="F54" s="6" t="s">
        <v>25</v>
      </c>
      <c r="G54" s="6" t="s">
        <v>25</v>
      </c>
      <c r="H54" s="6">
        <v>1.4</v>
      </c>
      <c r="I54" s="6">
        <v>18.0</v>
      </c>
      <c r="J54" s="6">
        <v>1.4</v>
      </c>
      <c r="K54" s="6" t="s">
        <v>25</v>
      </c>
      <c r="L54" s="7">
        <v>1.0</v>
      </c>
      <c r="M54" s="6" t="s">
        <v>25</v>
      </c>
      <c r="N54" s="7" t="s">
        <v>25</v>
      </c>
      <c r="O54" s="2" t="s">
        <v>251</v>
      </c>
      <c r="P54" s="2" t="s">
        <v>27</v>
      </c>
      <c r="Q54" s="8" t="s">
        <v>28</v>
      </c>
      <c r="R54" s="2" t="s">
        <v>25</v>
      </c>
      <c r="S54" s="2" t="s">
        <v>25</v>
      </c>
      <c r="T54" s="9" t="s">
        <v>42</v>
      </c>
    </row>
    <row r="55" ht="15.75" customHeight="1">
      <c r="A55" s="2" t="s">
        <v>252</v>
      </c>
      <c r="B55" s="3" t="s">
        <v>37</v>
      </c>
      <c r="C55" s="4" t="s">
        <v>136</v>
      </c>
      <c r="D55" s="2" t="s">
        <v>253</v>
      </c>
      <c r="E55" s="2" t="s">
        <v>254</v>
      </c>
      <c r="F55" s="6" t="s">
        <v>25</v>
      </c>
      <c r="G55" s="6" t="s">
        <v>25</v>
      </c>
      <c r="H55" s="6">
        <v>3.5</v>
      </c>
      <c r="I55" s="6">
        <v>18.0</v>
      </c>
      <c r="J55" s="6">
        <v>3.5</v>
      </c>
      <c r="K55" s="6" t="s">
        <v>25</v>
      </c>
      <c r="L55" s="7" t="s">
        <v>25</v>
      </c>
      <c r="M55" s="6" t="s">
        <v>25</v>
      </c>
      <c r="N55" s="7" t="s">
        <v>25</v>
      </c>
      <c r="O55" s="2" t="s">
        <v>255</v>
      </c>
      <c r="P55" s="2" t="s">
        <v>27</v>
      </c>
      <c r="Q55" s="8" t="s">
        <v>28</v>
      </c>
      <c r="R55" s="2" t="s">
        <v>25</v>
      </c>
      <c r="S55" s="2" t="s">
        <v>25</v>
      </c>
      <c r="T55" s="9" t="s">
        <v>42</v>
      </c>
    </row>
    <row r="56" ht="15.75" customHeight="1">
      <c r="A56" s="2" t="s">
        <v>256</v>
      </c>
      <c r="B56" s="4" t="s">
        <v>37</v>
      </c>
      <c r="C56" s="16" t="s">
        <v>257</v>
      </c>
      <c r="D56" s="2" t="s">
        <v>25</v>
      </c>
      <c r="E56" s="2" t="s">
        <v>258</v>
      </c>
      <c r="F56" s="6" t="s">
        <v>25</v>
      </c>
      <c r="G56" s="6">
        <v>18.5</v>
      </c>
      <c r="H56" s="6">
        <v>18.5</v>
      </c>
      <c r="I56" s="6" t="s">
        <v>25</v>
      </c>
      <c r="J56" s="6">
        <v>18.5</v>
      </c>
      <c r="K56" s="6" t="s">
        <v>259</v>
      </c>
      <c r="L56" s="7">
        <v>43.0</v>
      </c>
      <c r="M56" s="6" t="s">
        <v>25</v>
      </c>
      <c r="N56" s="7">
        <v>43.0</v>
      </c>
      <c r="O56" s="2" t="s">
        <v>260</v>
      </c>
      <c r="P56" s="2" t="s">
        <v>27</v>
      </c>
      <c r="Q56" s="8" t="s">
        <v>28</v>
      </c>
      <c r="R56" s="2" t="s">
        <v>25</v>
      </c>
      <c r="S56" s="2" t="s">
        <v>25</v>
      </c>
      <c r="T56" s="9" t="s">
        <v>42</v>
      </c>
    </row>
    <row r="57" ht="15.75" customHeight="1">
      <c r="A57" s="2" t="s">
        <v>261</v>
      </c>
      <c r="B57" s="4" t="s">
        <v>183</v>
      </c>
      <c r="C57" s="4" t="s">
        <v>262</v>
      </c>
      <c r="D57" s="2" t="s">
        <v>263</v>
      </c>
      <c r="E57" s="2" t="s">
        <v>264</v>
      </c>
      <c r="F57" s="6" t="s">
        <v>25</v>
      </c>
      <c r="G57" s="6" t="s">
        <v>25</v>
      </c>
      <c r="H57" s="6" t="s">
        <v>25</v>
      </c>
      <c r="I57" s="6" t="s">
        <v>25</v>
      </c>
      <c r="J57" s="6" t="s">
        <v>25</v>
      </c>
      <c r="K57" s="6" t="s">
        <v>25</v>
      </c>
      <c r="L57" s="7" t="s">
        <v>25</v>
      </c>
      <c r="M57" s="6" t="s">
        <v>25</v>
      </c>
      <c r="N57" s="7" t="s">
        <v>25</v>
      </c>
      <c r="O57" s="2" t="s">
        <v>265</v>
      </c>
      <c r="P57" s="2" t="s">
        <v>25</v>
      </c>
      <c r="Q57" s="8" t="s">
        <v>28</v>
      </c>
      <c r="R57" s="2" t="s">
        <v>25</v>
      </c>
      <c r="S57" s="2" t="s">
        <v>25</v>
      </c>
      <c r="T57" s="9" t="s">
        <v>42</v>
      </c>
    </row>
    <row r="58" ht="15.75" customHeight="1">
      <c r="A58" s="2" t="s">
        <v>266</v>
      </c>
      <c r="B58" s="4" t="s">
        <v>183</v>
      </c>
      <c r="C58" s="3" t="s">
        <v>267</v>
      </c>
      <c r="D58" s="2" t="s">
        <v>268</v>
      </c>
      <c r="E58" s="2" t="s">
        <v>269</v>
      </c>
      <c r="F58" s="6" t="s">
        <v>25</v>
      </c>
      <c r="G58" s="6">
        <v>5.4</v>
      </c>
      <c r="H58" s="6">
        <v>5.4</v>
      </c>
      <c r="I58" s="6">
        <v>18.0</v>
      </c>
      <c r="J58" s="6">
        <v>5.4</v>
      </c>
      <c r="K58" s="6">
        <v>4.25</v>
      </c>
      <c r="L58" s="7">
        <v>18.0</v>
      </c>
      <c r="M58" s="6" t="s">
        <v>25</v>
      </c>
      <c r="N58" s="7" t="s">
        <v>25</v>
      </c>
      <c r="O58" s="2" t="s">
        <v>270</v>
      </c>
      <c r="P58" s="2" t="s">
        <v>27</v>
      </c>
      <c r="Q58" s="8" t="s">
        <v>28</v>
      </c>
      <c r="R58" s="2" t="s">
        <v>25</v>
      </c>
      <c r="S58" s="2" t="s">
        <v>25</v>
      </c>
      <c r="T58" s="9" t="s">
        <v>42</v>
      </c>
    </row>
    <row r="59" ht="15.75" customHeight="1">
      <c r="A59" s="2" t="s">
        <v>271</v>
      </c>
      <c r="B59" s="3" t="s">
        <v>37</v>
      </c>
      <c r="C59" s="4" t="s">
        <v>257</v>
      </c>
      <c r="D59" s="2" t="s">
        <v>272</v>
      </c>
      <c r="E59" s="2" t="s">
        <v>273</v>
      </c>
      <c r="F59" s="6" t="s">
        <v>25</v>
      </c>
      <c r="G59" s="6">
        <v>7.7</v>
      </c>
      <c r="H59" s="6">
        <v>7.7</v>
      </c>
      <c r="I59" s="6">
        <v>18.0</v>
      </c>
      <c r="J59" s="6">
        <v>7.7</v>
      </c>
      <c r="K59" s="6">
        <v>0.45</v>
      </c>
      <c r="L59" s="7">
        <v>68.0</v>
      </c>
      <c r="M59" s="6" t="s">
        <v>25</v>
      </c>
      <c r="N59" s="7">
        <v>2.0</v>
      </c>
      <c r="O59" s="2" t="s">
        <v>274</v>
      </c>
      <c r="P59" s="2" t="s">
        <v>27</v>
      </c>
      <c r="Q59" s="8" t="s">
        <v>28</v>
      </c>
      <c r="R59" s="2" t="s">
        <v>25</v>
      </c>
      <c r="S59" s="2" t="s">
        <v>25</v>
      </c>
      <c r="T59" s="9" t="s">
        <v>42</v>
      </c>
    </row>
    <row r="60" ht="15.75" customHeight="1">
      <c r="A60" s="2" t="s">
        <v>275</v>
      </c>
      <c r="B60" s="4" t="s">
        <v>218</v>
      </c>
      <c r="C60" s="3" t="s">
        <v>96</v>
      </c>
      <c r="D60" s="2" t="s">
        <v>276</v>
      </c>
      <c r="E60" s="2" t="s">
        <v>277</v>
      </c>
      <c r="F60" s="6" t="s">
        <v>25</v>
      </c>
      <c r="G60" s="6" t="s">
        <v>25</v>
      </c>
      <c r="H60" s="6">
        <v>9.0</v>
      </c>
      <c r="I60" s="6">
        <v>18.0</v>
      </c>
      <c r="J60" s="6">
        <v>9.0</v>
      </c>
      <c r="K60" s="6">
        <v>1.18</v>
      </c>
      <c r="L60" s="7">
        <v>138.0</v>
      </c>
      <c r="M60" s="6" t="s">
        <v>25</v>
      </c>
      <c r="N60" s="7">
        <v>8.0</v>
      </c>
      <c r="O60" s="2" t="s">
        <v>278</v>
      </c>
      <c r="P60" s="2" t="s">
        <v>27</v>
      </c>
      <c r="Q60" s="8" t="s">
        <v>28</v>
      </c>
      <c r="R60" s="2" t="s">
        <v>25</v>
      </c>
      <c r="S60" s="2" t="s">
        <v>25</v>
      </c>
      <c r="T60" s="9" t="s">
        <v>42</v>
      </c>
    </row>
    <row r="61" ht="15.75" customHeight="1">
      <c r="A61" s="2" t="s">
        <v>279</v>
      </c>
      <c r="B61" s="4" t="s">
        <v>218</v>
      </c>
      <c r="C61" s="3" t="s">
        <v>267</v>
      </c>
      <c r="D61" s="2" t="s">
        <v>280</v>
      </c>
      <c r="E61" s="2" t="s">
        <v>281</v>
      </c>
      <c r="F61" s="6" t="s">
        <v>25</v>
      </c>
      <c r="G61" s="6" t="s">
        <v>25</v>
      </c>
      <c r="H61" s="6">
        <v>6.3</v>
      </c>
      <c r="I61" s="6">
        <v>18.0</v>
      </c>
      <c r="J61" s="6">
        <v>6.3</v>
      </c>
      <c r="K61" s="6">
        <v>1.15</v>
      </c>
      <c r="L61" s="7">
        <v>196.0</v>
      </c>
      <c r="M61" s="6" t="s">
        <v>25</v>
      </c>
      <c r="N61" s="7">
        <v>16.0</v>
      </c>
      <c r="O61" s="2" t="s">
        <v>282</v>
      </c>
      <c r="P61" s="2" t="s">
        <v>27</v>
      </c>
      <c r="Q61" s="8" t="s">
        <v>28</v>
      </c>
      <c r="R61" s="2" t="s">
        <v>25</v>
      </c>
      <c r="S61" s="2" t="s">
        <v>25</v>
      </c>
      <c r="T61" s="9" t="s">
        <v>42</v>
      </c>
    </row>
    <row r="62" ht="15.75" customHeight="1">
      <c r="A62" s="2" t="s">
        <v>283</v>
      </c>
      <c r="B62" s="3" t="s">
        <v>37</v>
      </c>
      <c r="C62" s="4" t="s">
        <v>38</v>
      </c>
      <c r="D62" s="2" t="s">
        <v>25</v>
      </c>
      <c r="E62" s="2" t="s">
        <v>284</v>
      </c>
      <c r="F62" s="6" t="s">
        <v>25</v>
      </c>
      <c r="G62" s="6" t="s">
        <v>25</v>
      </c>
      <c r="H62" s="6" t="s">
        <v>25</v>
      </c>
      <c r="I62" s="6" t="s">
        <v>25</v>
      </c>
      <c r="J62" s="6" t="s">
        <v>25</v>
      </c>
      <c r="K62" s="6">
        <v>5.86</v>
      </c>
      <c r="L62" s="7">
        <v>103.0</v>
      </c>
      <c r="M62" s="6" t="s">
        <v>25</v>
      </c>
      <c r="N62" s="7" t="s">
        <v>25</v>
      </c>
      <c r="O62" s="2" t="s">
        <v>285</v>
      </c>
      <c r="P62" s="2" t="s">
        <v>25</v>
      </c>
      <c r="Q62" s="8" t="s">
        <v>28</v>
      </c>
      <c r="R62" s="2" t="s">
        <v>25</v>
      </c>
      <c r="S62" s="2" t="s">
        <v>25</v>
      </c>
      <c r="T62" s="9" t="s">
        <v>42</v>
      </c>
    </row>
    <row r="63" ht="15.75" customHeight="1">
      <c r="A63" s="2" t="s">
        <v>286</v>
      </c>
      <c r="B63" s="4" t="s">
        <v>44</v>
      </c>
      <c r="C63" s="3" t="s">
        <v>96</v>
      </c>
      <c r="D63" s="2" t="s">
        <v>287</v>
      </c>
      <c r="E63" s="2" t="s">
        <v>288</v>
      </c>
      <c r="F63" s="6" t="s">
        <v>25</v>
      </c>
      <c r="G63" s="6" t="s">
        <v>25</v>
      </c>
      <c r="H63" s="6">
        <v>1.6</v>
      </c>
      <c r="I63" s="6">
        <v>18.0</v>
      </c>
      <c r="J63" s="6">
        <v>1.6</v>
      </c>
      <c r="K63" s="6">
        <v>0.069</v>
      </c>
      <c r="L63" s="7">
        <v>9.0</v>
      </c>
      <c r="M63" s="6" t="s">
        <v>25</v>
      </c>
      <c r="N63" s="7">
        <v>3.0</v>
      </c>
      <c r="O63" s="2" t="s">
        <v>289</v>
      </c>
      <c r="P63" s="2" t="s">
        <v>27</v>
      </c>
      <c r="Q63" s="8" t="s">
        <v>28</v>
      </c>
      <c r="R63" s="2" t="s">
        <v>25</v>
      </c>
      <c r="S63" s="2" t="s">
        <v>25</v>
      </c>
      <c r="T63" s="9" t="s">
        <v>42</v>
      </c>
    </row>
    <row r="64" ht="15.75" customHeight="1">
      <c r="A64" s="2" t="s">
        <v>290</v>
      </c>
      <c r="B64" s="3" t="s">
        <v>37</v>
      </c>
      <c r="C64" s="4" t="s">
        <v>257</v>
      </c>
      <c r="D64" s="2" t="s">
        <v>291</v>
      </c>
      <c r="E64" s="2" t="s">
        <v>292</v>
      </c>
      <c r="F64" s="6" t="s">
        <v>25</v>
      </c>
      <c r="G64" s="6">
        <v>8.7</v>
      </c>
      <c r="H64" s="6">
        <v>9.95</v>
      </c>
      <c r="I64" s="6">
        <v>18.0</v>
      </c>
      <c r="J64" s="6">
        <v>9.95</v>
      </c>
      <c r="K64" s="6">
        <v>1.71</v>
      </c>
      <c r="L64" s="7">
        <v>142.0</v>
      </c>
      <c r="M64" s="6" t="s">
        <v>25</v>
      </c>
      <c r="N64" s="7" t="s">
        <v>25</v>
      </c>
      <c r="O64" s="2" t="s">
        <v>293</v>
      </c>
      <c r="P64" s="2" t="s">
        <v>27</v>
      </c>
      <c r="Q64" s="8" t="s">
        <v>28</v>
      </c>
      <c r="R64" s="2" t="s">
        <v>25</v>
      </c>
      <c r="S64" s="2" t="s">
        <v>25</v>
      </c>
      <c r="T64" s="9" t="s">
        <v>42</v>
      </c>
    </row>
    <row r="65" ht="15.75" customHeight="1">
      <c r="A65" s="2" t="s">
        <v>294</v>
      </c>
      <c r="B65" s="3" t="s">
        <v>21</v>
      </c>
      <c r="C65" s="4" t="s">
        <v>244</v>
      </c>
      <c r="D65" s="2" t="s">
        <v>295</v>
      </c>
      <c r="E65" s="2" t="s">
        <v>296</v>
      </c>
      <c r="F65" s="6" t="s">
        <v>25</v>
      </c>
      <c r="G65" s="6">
        <v>1.8</v>
      </c>
      <c r="H65" s="6">
        <v>2.06</v>
      </c>
      <c r="I65" s="6">
        <v>18.0</v>
      </c>
      <c r="J65" s="6">
        <v>2.06</v>
      </c>
      <c r="K65" s="6" t="s">
        <v>25</v>
      </c>
      <c r="L65" s="7">
        <v>2.0</v>
      </c>
      <c r="M65" s="6" t="s">
        <v>25</v>
      </c>
      <c r="N65" s="7" t="s">
        <v>25</v>
      </c>
      <c r="O65" s="2" t="s">
        <v>297</v>
      </c>
      <c r="P65" s="2" t="s">
        <v>27</v>
      </c>
      <c r="Q65" s="8" t="s">
        <v>28</v>
      </c>
      <c r="R65" s="2" t="s">
        <v>25</v>
      </c>
      <c r="S65" s="2" t="s">
        <v>25</v>
      </c>
      <c r="T65" s="9" t="s">
        <v>42</v>
      </c>
    </row>
    <row r="66" ht="15.75" customHeight="1">
      <c r="A66" s="2" t="s">
        <v>298</v>
      </c>
      <c r="B66" s="3" t="s">
        <v>21</v>
      </c>
      <c r="C66" s="4" t="s">
        <v>244</v>
      </c>
      <c r="D66" s="2" t="s">
        <v>299</v>
      </c>
      <c r="E66" s="2" t="s">
        <v>300</v>
      </c>
      <c r="F66" s="6" t="s">
        <v>25</v>
      </c>
      <c r="G66" s="6">
        <v>1.6</v>
      </c>
      <c r="H66" s="6">
        <v>1.8</v>
      </c>
      <c r="I66" s="6">
        <v>18.0</v>
      </c>
      <c r="J66" s="6">
        <v>1.8</v>
      </c>
      <c r="K66" s="6" t="s">
        <v>25</v>
      </c>
      <c r="L66" s="7">
        <v>2.0</v>
      </c>
      <c r="M66" s="6" t="s">
        <v>25</v>
      </c>
      <c r="N66" s="7" t="s">
        <v>25</v>
      </c>
      <c r="O66" s="2" t="s">
        <v>301</v>
      </c>
      <c r="P66" s="2" t="s">
        <v>27</v>
      </c>
      <c r="Q66" s="8" t="s">
        <v>28</v>
      </c>
      <c r="R66" s="2" t="s">
        <v>25</v>
      </c>
      <c r="S66" s="2" t="s">
        <v>25</v>
      </c>
      <c r="T66" s="9" t="s">
        <v>42</v>
      </c>
    </row>
    <row r="67" ht="15.75" customHeight="1">
      <c r="A67" s="2" t="s">
        <v>302</v>
      </c>
      <c r="B67" s="3" t="s">
        <v>37</v>
      </c>
      <c r="C67" s="4" t="s">
        <v>38</v>
      </c>
      <c r="D67" s="2" t="s">
        <v>303</v>
      </c>
      <c r="E67" s="2" t="s">
        <v>304</v>
      </c>
      <c r="F67" s="6" t="s">
        <v>25</v>
      </c>
      <c r="G67" s="6">
        <v>3.9</v>
      </c>
      <c r="H67" s="6">
        <v>4.5</v>
      </c>
      <c r="I67" s="6">
        <v>18.0</v>
      </c>
      <c r="J67" s="6">
        <v>4.5</v>
      </c>
      <c r="K67" s="6" t="s">
        <v>305</v>
      </c>
      <c r="L67" s="7" t="s">
        <v>306</v>
      </c>
      <c r="M67" s="6" t="s">
        <v>25</v>
      </c>
      <c r="N67" s="7" t="s">
        <v>25</v>
      </c>
      <c r="O67" s="2" t="s">
        <v>307</v>
      </c>
      <c r="P67" s="2" t="s">
        <v>25</v>
      </c>
      <c r="Q67" s="8" t="s">
        <v>28</v>
      </c>
      <c r="R67" s="2" t="s">
        <v>25</v>
      </c>
      <c r="S67" s="2" t="s">
        <v>25</v>
      </c>
      <c r="T67" s="9" t="s">
        <v>42</v>
      </c>
    </row>
    <row r="68" ht="15.75" customHeight="1">
      <c r="A68" s="2" t="s">
        <v>308</v>
      </c>
      <c r="B68" s="4" t="s">
        <v>37</v>
      </c>
      <c r="C68" s="4" t="s">
        <v>309</v>
      </c>
      <c r="D68" s="2" t="s">
        <v>310</v>
      </c>
      <c r="E68" s="2" t="s">
        <v>25</v>
      </c>
      <c r="F68" s="6" t="s">
        <v>25</v>
      </c>
      <c r="G68" s="6" t="s">
        <v>25</v>
      </c>
      <c r="H68" s="6" t="s">
        <v>25</v>
      </c>
      <c r="I68" s="6" t="s">
        <v>25</v>
      </c>
      <c r="J68" s="6" t="s">
        <v>25</v>
      </c>
      <c r="K68" s="6" t="s">
        <v>25</v>
      </c>
      <c r="L68" s="7" t="s">
        <v>25</v>
      </c>
      <c r="M68" s="6" t="s">
        <v>25</v>
      </c>
      <c r="N68" s="7" t="s">
        <v>25</v>
      </c>
      <c r="O68" s="2" t="s">
        <v>311</v>
      </c>
      <c r="P68" s="2" t="s">
        <v>25</v>
      </c>
      <c r="Q68" s="8" t="s">
        <v>28</v>
      </c>
      <c r="R68" s="2" t="s">
        <v>25</v>
      </c>
      <c r="S68" s="2" t="s">
        <v>25</v>
      </c>
      <c r="T68" s="9" t="s">
        <v>42</v>
      </c>
    </row>
    <row r="69" ht="15.75" customHeight="1">
      <c r="A69" s="2" t="s">
        <v>312</v>
      </c>
      <c r="B69" s="3" t="s">
        <v>37</v>
      </c>
      <c r="C69" s="4" t="s">
        <v>257</v>
      </c>
      <c r="D69" s="2" t="s">
        <v>313</v>
      </c>
      <c r="E69" s="2" t="s">
        <v>314</v>
      </c>
      <c r="F69" s="6" t="s">
        <v>25</v>
      </c>
      <c r="G69" s="6">
        <v>6.1</v>
      </c>
      <c r="H69" s="6">
        <v>7.0</v>
      </c>
      <c r="I69" s="6">
        <v>18.0</v>
      </c>
      <c r="J69" s="6">
        <v>7.0</v>
      </c>
      <c r="K69" s="6">
        <v>1.035</v>
      </c>
      <c r="L69" s="7">
        <v>54.0</v>
      </c>
      <c r="M69" s="6" t="s">
        <v>25</v>
      </c>
      <c r="N69" s="7" t="s">
        <v>25</v>
      </c>
      <c r="O69" s="2" t="s">
        <v>315</v>
      </c>
      <c r="P69" s="2" t="s">
        <v>27</v>
      </c>
      <c r="Q69" s="8" t="s">
        <v>28</v>
      </c>
      <c r="R69" s="2" t="s">
        <v>25</v>
      </c>
      <c r="S69" s="2" t="s">
        <v>25</v>
      </c>
      <c r="T69" s="9" t="s">
        <v>42</v>
      </c>
    </row>
    <row r="70" ht="15.75" customHeight="1">
      <c r="A70" s="2" t="s">
        <v>316</v>
      </c>
      <c r="B70" s="3" t="s">
        <v>25</v>
      </c>
      <c r="C70" s="3" t="s">
        <v>25</v>
      </c>
      <c r="D70" s="2" t="s">
        <v>317</v>
      </c>
      <c r="E70" s="2" t="s">
        <v>25</v>
      </c>
      <c r="F70" s="6" t="s">
        <v>25</v>
      </c>
      <c r="G70" s="6" t="s">
        <v>25</v>
      </c>
      <c r="H70" s="6" t="s">
        <v>25</v>
      </c>
      <c r="I70" s="6" t="s">
        <v>25</v>
      </c>
      <c r="J70" s="6" t="s">
        <v>25</v>
      </c>
      <c r="K70" s="6" t="s">
        <v>25</v>
      </c>
      <c r="L70" s="7" t="s">
        <v>25</v>
      </c>
      <c r="M70" s="6" t="s">
        <v>25</v>
      </c>
      <c r="N70" s="7" t="s">
        <v>25</v>
      </c>
      <c r="O70" s="2" t="s">
        <v>318</v>
      </c>
      <c r="P70" s="2" t="s">
        <v>25</v>
      </c>
      <c r="Q70" s="8" t="s">
        <v>28</v>
      </c>
      <c r="R70" s="2" t="s">
        <v>25</v>
      </c>
      <c r="S70" s="2" t="s">
        <v>25</v>
      </c>
      <c r="T70" s="9" t="s">
        <v>42</v>
      </c>
    </row>
    <row r="71" ht="15.75" customHeight="1">
      <c r="A71" s="2" t="s">
        <v>319</v>
      </c>
      <c r="B71" s="3" t="s">
        <v>121</v>
      </c>
      <c r="C71" s="4" t="s">
        <v>320</v>
      </c>
      <c r="D71" s="2" t="s">
        <v>321</v>
      </c>
      <c r="E71" s="2" t="s">
        <v>322</v>
      </c>
      <c r="F71" s="6" t="s">
        <v>25</v>
      </c>
      <c r="G71" s="6">
        <v>7.7</v>
      </c>
      <c r="H71" s="6" t="s">
        <v>25</v>
      </c>
      <c r="I71" s="6">
        <v>14.0</v>
      </c>
      <c r="J71" s="6">
        <v>7.7</v>
      </c>
      <c r="K71" s="6">
        <v>0.9</v>
      </c>
      <c r="L71" s="7">
        <v>1.0</v>
      </c>
      <c r="M71" s="6" t="s">
        <v>25</v>
      </c>
      <c r="N71" s="7" t="s">
        <v>25</v>
      </c>
      <c r="O71" s="2" t="s">
        <v>323</v>
      </c>
      <c r="P71" s="2" t="s">
        <v>27</v>
      </c>
      <c r="Q71" s="8" t="s">
        <v>28</v>
      </c>
      <c r="R71" s="2" t="s">
        <v>25</v>
      </c>
      <c r="S71" s="2" t="s">
        <v>25</v>
      </c>
      <c r="T71" s="9" t="s">
        <v>42</v>
      </c>
    </row>
    <row r="72" ht="15.75" customHeight="1">
      <c r="A72" s="2" t="s">
        <v>324</v>
      </c>
      <c r="B72" s="3" t="s">
        <v>101</v>
      </c>
      <c r="C72" s="3" t="s">
        <v>325</v>
      </c>
      <c r="D72" s="2" t="s">
        <v>25</v>
      </c>
      <c r="E72" s="2" t="s">
        <v>326</v>
      </c>
      <c r="F72" s="6" t="s">
        <v>25</v>
      </c>
      <c r="G72" s="6">
        <v>23.0</v>
      </c>
      <c r="H72" s="6">
        <v>26.9</v>
      </c>
      <c r="I72" s="6">
        <v>18.0</v>
      </c>
      <c r="J72" s="6">
        <v>26.9</v>
      </c>
      <c r="K72" s="6">
        <v>5.27</v>
      </c>
      <c r="L72" s="7">
        <v>142.0</v>
      </c>
      <c r="M72" s="6" t="s">
        <v>25</v>
      </c>
      <c r="N72" s="7" t="s">
        <v>25</v>
      </c>
      <c r="O72" s="2" t="s">
        <v>327</v>
      </c>
      <c r="P72" s="2" t="s">
        <v>27</v>
      </c>
      <c r="Q72" s="8" t="s">
        <v>28</v>
      </c>
      <c r="R72" s="2" t="s">
        <v>25</v>
      </c>
      <c r="S72" s="2" t="s">
        <v>25</v>
      </c>
      <c r="T72" s="9" t="s">
        <v>42</v>
      </c>
    </row>
    <row r="73" ht="15.75" customHeight="1">
      <c r="A73" s="2" t="s">
        <v>328</v>
      </c>
      <c r="B73" s="3" t="s">
        <v>37</v>
      </c>
      <c r="C73" s="4" t="s">
        <v>38</v>
      </c>
      <c r="D73" s="2" t="s">
        <v>329</v>
      </c>
      <c r="E73" s="2" t="s">
        <v>330</v>
      </c>
      <c r="F73" s="6" t="s">
        <v>25</v>
      </c>
      <c r="G73" s="6" t="s">
        <v>25</v>
      </c>
      <c r="H73" s="6" t="s">
        <v>25</v>
      </c>
      <c r="I73" s="6" t="s">
        <v>25</v>
      </c>
      <c r="J73" s="6" t="s">
        <v>25</v>
      </c>
      <c r="K73" s="6" t="s">
        <v>259</v>
      </c>
      <c r="L73" s="7">
        <v>15.0</v>
      </c>
      <c r="M73" s="6" t="s">
        <v>25</v>
      </c>
      <c r="N73" s="7" t="s">
        <v>25</v>
      </c>
      <c r="O73" s="2" t="s">
        <v>331</v>
      </c>
      <c r="P73" s="2" t="s">
        <v>25</v>
      </c>
      <c r="Q73" s="8" t="s">
        <v>28</v>
      </c>
      <c r="R73" s="2" t="s">
        <v>25</v>
      </c>
      <c r="S73" s="2" t="s">
        <v>25</v>
      </c>
      <c r="T73" s="9" t="s">
        <v>42</v>
      </c>
    </row>
    <row r="74" ht="15.75" customHeight="1">
      <c r="A74" s="2" t="s">
        <v>332</v>
      </c>
      <c r="B74" s="3" t="s">
        <v>37</v>
      </c>
      <c r="C74" s="4" t="s">
        <v>38</v>
      </c>
      <c r="D74" s="2" t="s">
        <v>333</v>
      </c>
      <c r="E74" s="2" t="s">
        <v>334</v>
      </c>
      <c r="F74" s="6" t="s">
        <v>25</v>
      </c>
      <c r="G74" s="6" t="s">
        <v>25</v>
      </c>
      <c r="H74" s="6">
        <v>5.3</v>
      </c>
      <c r="I74" s="6">
        <v>18.0</v>
      </c>
      <c r="J74" s="6">
        <v>5.3</v>
      </c>
      <c r="K74" s="6">
        <v>2.4</v>
      </c>
      <c r="L74" s="7">
        <v>77.0</v>
      </c>
      <c r="M74" s="6" t="s">
        <v>25</v>
      </c>
      <c r="N74" s="7" t="s">
        <v>25</v>
      </c>
      <c r="O74" s="2" t="s">
        <v>335</v>
      </c>
      <c r="P74" s="2" t="s">
        <v>27</v>
      </c>
      <c r="Q74" s="8" t="s">
        <v>28</v>
      </c>
      <c r="R74" s="2" t="s">
        <v>25</v>
      </c>
      <c r="S74" s="2" t="s">
        <v>25</v>
      </c>
      <c r="T74" s="9" t="s">
        <v>42</v>
      </c>
    </row>
    <row r="75" ht="15.75" customHeight="1">
      <c r="A75" s="2" t="s">
        <v>336</v>
      </c>
      <c r="B75" s="3" t="s">
        <v>37</v>
      </c>
      <c r="C75" s="4" t="s">
        <v>257</v>
      </c>
      <c r="D75" s="2" t="s">
        <v>337</v>
      </c>
      <c r="E75" s="2" t="s">
        <v>338</v>
      </c>
      <c r="F75" s="6" t="s">
        <v>25</v>
      </c>
      <c r="G75" s="6">
        <v>2.7</v>
      </c>
      <c r="H75" s="6">
        <v>3.1</v>
      </c>
      <c r="I75" s="6">
        <v>18.0</v>
      </c>
      <c r="J75" s="6">
        <v>3.1</v>
      </c>
      <c r="K75" s="6">
        <v>1.24</v>
      </c>
      <c r="L75" s="7">
        <v>25.0</v>
      </c>
      <c r="M75" s="6" t="s">
        <v>339</v>
      </c>
      <c r="N75" s="7" t="s">
        <v>25</v>
      </c>
      <c r="O75" s="2" t="s">
        <v>340</v>
      </c>
      <c r="P75" s="2" t="s">
        <v>27</v>
      </c>
      <c r="Q75" s="8" t="s">
        <v>28</v>
      </c>
      <c r="R75" s="2" t="s">
        <v>25</v>
      </c>
      <c r="S75" s="2" t="s">
        <v>25</v>
      </c>
      <c r="T75" s="9" t="s">
        <v>42</v>
      </c>
    </row>
    <row r="76" ht="15.75" customHeight="1">
      <c r="A76" s="9" t="s">
        <v>341</v>
      </c>
      <c r="B76" s="14"/>
      <c r="C76" s="14"/>
      <c r="D76" s="9"/>
      <c r="E76" s="10" t="str">
        <f>HYPERLINK("https://drive.google.com/drive/search?q=P075","Find CAD image")</f>
        <v>Find CAD image</v>
      </c>
      <c r="F76" s="11"/>
      <c r="G76" s="11"/>
      <c r="H76" s="11"/>
      <c r="I76" s="11"/>
      <c r="J76" s="11"/>
      <c r="K76" s="11"/>
      <c r="L76" s="12"/>
      <c r="M76" s="11"/>
      <c r="N76" s="12"/>
      <c r="O76" s="9" t="s">
        <v>79</v>
      </c>
      <c r="P76" s="9" t="s">
        <v>27</v>
      </c>
      <c r="Q76" s="13"/>
      <c r="R76" s="9" t="s">
        <v>80</v>
      </c>
      <c r="S76" s="9"/>
      <c r="T76" s="9" t="s">
        <v>42</v>
      </c>
    </row>
    <row r="77" ht="15.75" customHeight="1">
      <c r="A77" s="2" t="s">
        <v>342</v>
      </c>
      <c r="B77" s="3" t="s">
        <v>37</v>
      </c>
      <c r="C77" s="4" t="s">
        <v>257</v>
      </c>
      <c r="D77" s="2" t="s">
        <v>25</v>
      </c>
      <c r="E77" s="2" t="s">
        <v>343</v>
      </c>
      <c r="F77" s="6" t="s">
        <v>25</v>
      </c>
      <c r="G77" s="6">
        <v>4.7</v>
      </c>
      <c r="H77" s="6" t="s">
        <v>25</v>
      </c>
      <c r="I77" s="6">
        <v>14.0</v>
      </c>
      <c r="J77" s="6">
        <v>4.7</v>
      </c>
      <c r="K77" s="6">
        <v>2.74</v>
      </c>
      <c r="L77" s="7">
        <v>27.0</v>
      </c>
      <c r="M77" s="6" t="s">
        <v>25</v>
      </c>
      <c r="N77" s="7" t="s">
        <v>25</v>
      </c>
      <c r="O77" s="2" t="s">
        <v>344</v>
      </c>
      <c r="P77" s="2" t="s">
        <v>27</v>
      </c>
      <c r="Q77" s="8" t="s">
        <v>28</v>
      </c>
      <c r="R77" s="2" t="s">
        <v>25</v>
      </c>
      <c r="S77" s="2" t="s">
        <v>25</v>
      </c>
      <c r="T77" s="9" t="s">
        <v>42</v>
      </c>
    </row>
    <row r="78" ht="15.75" customHeight="1">
      <c r="A78" s="2" t="s">
        <v>345</v>
      </c>
      <c r="B78" s="3" t="s">
        <v>25</v>
      </c>
      <c r="C78" s="3" t="s">
        <v>25</v>
      </c>
      <c r="D78" s="2" t="s">
        <v>346</v>
      </c>
      <c r="E78" s="2" t="s">
        <v>25</v>
      </c>
      <c r="F78" s="6" t="s">
        <v>25</v>
      </c>
      <c r="G78" s="6" t="s">
        <v>25</v>
      </c>
      <c r="H78" s="6" t="s">
        <v>25</v>
      </c>
      <c r="I78" s="6" t="s">
        <v>25</v>
      </c>
      <c r="J78" s="6" t="s">
        <v>25</v>
      </c>
      <c r="K78" s="6" t="s">
        <v>25</v>
      </c>
      <c r="L78" s="7" t="s">
        <v>25</v>
      </c>
      <c r="M78" s="6" t="s">
        <v>25</v>
      </c>
      <c r="N78" s="7" t="s">
        <v>25</v>
      </c>
      <c r="O78" s="2" t="s">
        <v>347</v>
      </c>
      <c r="P78" s="2" t="s">
        <v>25</v>
      </c>
      <c r="Q78" s="8" t="s">
        <v>28</v>
      </c>
      <c r="R78" s="2" t="s">
        <v>25</v>
      </c>
      <c r="S78" s="2" t="s">
        <v>25</v>
      </c>
      <c r="T78" s="9" t="s">
        <v>42</v>
      </c>
    </row>
    <row r="79" ht="15.75" customHeight="1">
      <c r="A79" s="2" t="s">
        <v>348</v>
      </c>
      <c r="B79" s="3" t="s">
        <v>37</v>
      </c>
      <c r="C79" s="4" t="s">
        <v>38</v>
      </c>
      <c r="D79" s="2" t="s">
        <v>349</v>
      </c>
      <c r="E79" s="2" t="s">
        <v>350</v>
      </c>
      <c r="F79" s="6" t="s">
        <v>25</v>
      </c>
      <c r="G79" s="6">
        <v>3.5</v>
      </c>
      <c r="H79" s="6" t="s">
        <v>25</v>
      </c>
      <c r="I79" s="6">
        <v>14.0</v>
      </c>
      <c r="J79" s="6">
        <v>3.5</v>
      </c>
      <c r="K79" s="6">
        <v>0.834</v>
      </c>
      <c r="L79" s="7">
        <v>73.0</v>
      </c>
      <c r="M79" s="6" t="s">
        <v>351</v>
      </c>
      <c r="N79" s="7">
        <v>1.0</v>
      </c>
      <c r="O79" s="2" t="s">
        <v>352</v>
      </c>
      <c r="P79" s="2" t="s">
        <v>27</v>
      </c>
      <c r="Q79" s="8" t="s">
        <v>28</v>
      </c>
      <c r="R79" s="2" t="s">
        <v>25</v>
      </c>
      <c r="S79" s="2" t="s">
        <v>25</v>
      </c>
      <c r="T79" s="9" t="s">
        <v>42</v>
      </c>
    </row>
    <row r="80" ht="15.75" customHeight="1">
      <c r="A80" s="2" t="s">
        <v>353</v>
      </c>
      <c r="B80" s="4" t="s">
        <v>37</v>
      </c>
      <c r="C80" s="4" t="s">
        <v>257</v>
      </c>
      <c r="D80" s="2" t="s">
        <v>354</v>
      </c>
      <c r="E80" s="2" t="s">
        <v>355</v>
      </c>
      <c r="F80" s="6" t="s">
        <v>25</v>
      </c>
      <c r="G80" s="6" t="s">
        <v>25</v>
      </c>
      <c r="H80" s="6" t="s">
        <v>25</v>
      </c>
      <c r="I80" s="6" t="s">
        <v>25</v>
      </c>
      <c r="J80" s="6" t="s">
        <v>25</v>
      </c>
      <c r="K80" s="6" t="s">
        <v>259</v>
      </c>
      <c r="L80" s="7">
        <v>65.0</v>
      </c>
      <c r="M80" s="6" t="s">
        <v>25</v>
      </c>
      <c r="N80" s="7" t="s">
        <v>25</v>
      </c>
      <c r="O80" s="2" t="s">
        <v>356</v>
      </c>
      <c r="P80" s="2" t="s">
        <v>25</v>
      </c>
      <c r="Q80" s="8" t="s">
        <v>28</v>
      </c>
      <c r="R80" s="2" t="s">
        <v>25</v>
      </c>
      <c r="S80" s="2" t="s">
        <v>25</v>
      </c>
      <c r="T80" s="9" t="s">
        <v>42</v>
      </c>
    </row>
    <row r="81" ht="15.75" customHeight="1">
      <c r="A81" s="2" t="s">
        <v>357</v>
      </c>
      <c r="B81" s="4" t="s">
        <v>162</v>
      </c>
      <c r="C81" s="4" t="s">
        <v>358</v>
      </c>
      <c r="D81" s="2" t="s">
        <v>359</v>
      </c>
      <c r="E81" s="2" t="s">
        <v>360</v>
      </c>
      <c r="F81" s="6" t="s">
        <v>25</v>
      </c>
      <c r="G81" s="6">
        <v>1.0</v>
      </c>
      <c r="H81" s="6">
        <v>1.2</v>
      </c>
      <c r="I81" s="6">
        <v>18.0</v>
      </c>
      <c r="J81" s="6">
        <v>1.2</v>
      </c>
      <c r="K81" s="6">
        <v>0.66</v>
      </c>
      <c r="L81" s="7">
        <v>34.0</v>
      </c>
      <c r="M81" s="6" t="s">
        <v>25</v>
      </c>
      <c r="N81" s="7" t="s">
        <v>25</v>
      </c>
      <c r="O81" s="2" t="s">
        <v>361</v>
      </c>
      <c r="P81" s="2" t="s">
        <v>27</v>
      </c>
      <c r="Q81" s="8" t="s">
        <v>28</v>
      </c>
      <c r="R81" s="2" t="s">
        <v>25</v>
      </c>
      <c r="S81" s="2" t="s">
        <v>25</v>
      </c>
      <c r="T81" s="9" t="s">
        <v>42</v>
      </c>
    </row>
    <row r="82" ht="15.75" customHeight="1">
      <c r="A82" s="2" t="s">
        <v>362</v>
      </c>
      <c r="B82" s="4" t="s">
        <v>162</v>
      </c>
      <c r="C82" s="4" t="s">
        <v>358</v>
      </c>
      <c r="D82" s="2" t="s">
        <v>363</v>
      </c>
      <c r="E82" s="2" t="s">
        <v>364</v>
      </c>
      <c r="F82" s="6" t="s">
        <v>25</v>
      </c>
      <c r="G82" s="6">
        <v>4.8</v>
      </c>
      <c r="H82" s="6" t="s">
        <v>25</v>
      </c>
      <c r="I82" s="6">
        <v>14.0</v>
      </c>
      <c r="J82" s="6">
        <v>4.8</v>
      </c>
      <c r="K82" s="6">
        <v>0.88</v>
      </c>
      <c r="L82" s="7">
        <v>33.0</v>
      </c>
      <c r="M82" s="6" t="s">
        <v>25</v>
      </c>
      <c r="N82" s="7" t="s">
        <v>25</v>
      </c>
      <c r="O82" s="2" t="s">
        <v>365</v>
      </c>
      <c r="P82" s="2" t="s">
        <v>27</v>
      </c>
      <c r="Q82" s="8" t="s">
        <v>28</v>
      </c>
      <c r="R82" s="2" t="s">
        <v>25</v>
      </c>
      <c r="S82" s="2" t="s">
        <v>25</v>
      </c>
      <c r="T82" s="9" t="s">
        <v>42</v>
      </c>
    </row>
    <row r="83" ht="15.75" customHeight="1">
      <c r="A83" s="2" t="s">
        <v>366</v>
      </c>
      <c r="B83" s="4" t="s">
        <v>162</v>
      </c>
      <c r="C83" s="4" t="s">
        <v>358</v>
      </c>
      <c r="D83" s="2" t="s">
        <v>367</v>
      </c>
      <c r="E83" s="2" t="s">
        <v>368</v>
      </c>
      <c r="F83" s="6" t="s">
        <v>25</v>
      </c>
      <c r="G83" s="6">
        <v>5.9</v>
      </c>
      <c r="H83" s="6" t="s">
        <v>25</v>
      </c>
      <c r="I83" s="6">
        <v>14.0</v>
      </c>
      <c r="J83" s="6">
        <v>5.9</v>
      </c>
      <c r="K83" s="6">
        <v>0.35</v>
      </c>
      <c r="L83" s="7">
        <v>49.0</v>
      </c>
      <c r="M83" s="6" t="s">
        <v>25</v>
      </c>
      <c r="N83" s="7" t="s">
        <v>25</v>
      </c>
      <c r="O83" s="2" t="s">
        <v>369</v>
      </c>
      <c r="P83" s="2" t="s">
        <v>27</v>
      </c>
      <c r="Q83" s="8" t="s">
        <v>28</v>
      </c>
      <c r="R83" s="2" t="s">
        <v>25</v>
      </c>
      <c r="S83" s="2" t="s">
        <v>25</v>
      </c>
      <c r="T83" s="9" t="s">
        <v>42</v>
      </c>
    </row>
    <row r="84" ht="15.75" customHeight="1">
      <c r="A84" s="2" t="s">
        <v>370</v>
      </c>
      <c r="B84" s="4" t="s">
        <v>162</v>
      </c>
      <c r="C84" s="4" t="s">
        <v>358</v>
      </c>
      <c r="D84" s="2" t="s">
        <v>371</v>
      </c>
      <c r="E84" s="2" t="s">
        <v>372</v>
      </c>
      <c r="F84" s="6" t="s">
        <v>25</v>
      </c>
      <c r="G84" s="6">
        <v>5.9</v>
      </c>
      <c r="H84" s="6" t="s">
        <v>25</v>
      </c>
      <c r="I84" s="6">
        <v>14.0</v>
      </c>
      <c r="J84" s="6">
        <v>5.9</v>
      </c>
      <c r="K84" s="6">
        <v>0.42</v>
      </c>
      <c r="L84" s="7">
        <v>49.0</v>
      </c>
      <c r="M84" s="6" t="s">
        <v>25</v>
      </c>
      <c r="N84" s="7" t="s">
        <v>25</v>
      </c>
      <c r="O84" s="2" t="s">
        <v>373</v>
      </c>
      <c r="P84" s="2" t="s">
        <v>27</v>
      </c>
      <c r="Q84" s="8" t="s">
        <v>28</v>
      </c>
      <c r="R84" s="2" t="s">
        <v>25</v>
      </c>
      <c r="S84" s="2" t="s">
        <v>25</v>
      </c>
      <c r="T84" s="9" t="s">
        <v>42</v>
      </c>
    </row>
    <row r="85" ht="15.75" customHeight="1">
      <c r="A85" s="2" t="s">
        <v>374</v>
      </c>
      <c r="B85" s="3" t="s">
        <v>101</v>
      </c>
      <c r="C85" s="4" t="s">
        <v>262</v>
      </c>
      <c r="D85" s="2" t="s">
        <v>25</v>
      </c>
      <c r="E85" s="2" t="s">
        <v>375</v>
      </c>
      <c r="F85" s="6" t="s">
        <v>25</v>
      </c>
      <c r="G85" s="6">
        <v>14.0</v>
      </c>
      <c r="H85" s="6">
        <v>15.0</v>
      </c>
      <c r="I85" s="6">
        <v>18.0</v>
      </c>
      <c r="J85" s="6">
        <v>15.0</v>
      </c>
      <c r="K85" s="6">
        <v>0.855</v>
      </c>
      <c r="L85" s="7">
        <v>40.0</v>
      </c>
      <c r="M85" s="6" t="s">
        <v>376</v>
      </c>
      <c r="N85" s="7">
        <v>2.0</v>
      </c>
      <c r="O85" s="2" t="s">
        <v>377</v>
      </c>
      <c r="P85" s="2" t="s">
        <v>27</v>
      </c>
      <c r="Q85" s="8" t="s">
        <v>28</v>
      </c>
      <c r="R85" s="2" t="s">
        <v>25</v>
      </c>
      <c r="S85" s="2" t="s">
        <v>25</v>
      </c>
      <c r="T85" s="9" t="s">
        <v>42</v>
      </c>
    </row>
    <row r="86" ht="15.75" customHeight="1">
      <c r="A86" s="2" t="s">
        <v>378</v>
      </c>
      <c r="B86" s="4" t="s">
        <v>218</v>
      </c>
      <c r="C86" s="4" t="s">
        <v>96</v>
      </c>
      <c r="D86" s="2" t="s">
        <v>379</v>
      </c>
      <c r="E86" s="2" t="s">
        <v>380</v>
      </c>
      <c r="F86" s="6" t="s">
        <v>25</v>
      </c>
      <c r="G86" s="6" t="s">
        <v>25</v>
      </c>
      <c r="H86" s="6" t="s">
        <v>25</v>
      </c>
      <c r="I86" s="6" t="s">
        <v>25</v>
      </c>
      <c r="J86" s="6" t="s">
        <v>25</v>
      </c>
      <c r="K86" s="6">
        <v>0.404</v>
      </c>
      <c r="L86" s="7">
        <v>54.0</v>
      </c>
      <c r="M86" s="6" t="s">
        <v>25</v>
      </c>
      <c r="N86" s="7">
        <v>1.0</v>
      </c>
      <c r="O86" s="2" t="s">
        <v>381</v>
      </c>
      <c r="P86" s="2" t="s">
        <v>25</v>
      </c>
      <c r="Q86" s="8" t="s">
        <v>28</v>
      </c>
      <c r="R86" s="2" t="s">
        <v>25</v>
      </c>
      <c r="S86" s="2" t="s">
        <v>25</v>
      </c>
      <c r="T86" s="9" t="s">
        <v>42</v>
      </c>
    </row>
    <row r="87" ht="15.75" customHeight="1">
      <c r="A87" s="2" t="s">
        <v>382</v>
      </c>
      <c r="B87" s="4" t="s">
        <v>218</v>
      </c>
      <c r="C87" s="4" t="s">
        <v>267</v>
      </c>
      <c r="D87" s="2" t="s">
        <v>383</v>
      </c>
      <c r="E87" s="2" t="s">
        <v>384</v>
      </c>
      <c r="F87" s="6" t="s">
        <v>25</v>
      </c>
      <c r="G87" s="6" t="s">
        <v>25</v>
      </c>
      <c r="H87" s="6" t="s">
        <v>25</v>
      </c>
      <c r="I87" s="6" t="s">
        <v>25</v>
      </c>
      <c r="J87" s="6" t="s">
        <v>25</v>
      </c>
      <c r="K87" s="6">
        <v>0.443</v>
      </c>
      <c r="L87" s="7">
        <v>94.0</v>
      </c>
      <c r="M87" s="6" t="s">
        <v>25</v>
      </c>
      <c r="N87" s="7">
        <v>2.0</v>
      </c>
      <c r="O87" s="2" t="s">
        <v>385</v>
      </c>
      <c r="P87" s="2" t="s">
        <v>25</v>
      </c>
      <c r="Q87" s="8" t="s">
        <v>28</v>
      </c>
      <c r="R87" s="2" t="s">
        <v>25</v>
      </c>
      <c r="S87" s="2" t="s">
        <v>25</v>
      </c>
      <c r="T87" s="9" t="s">
        <v>42</v>
      </c>
    </row>
    <row r="88" ht="15.75" customHeight="1">
      <c r="A88" s="2" t="s">
        <v>386</v>
      </c>
      <c r="B88" s="3" t="s">
        <v>37</v>
      </c>
      <c r="C88" s="4" t="s">
        <v>387</v>
      </c>
      <c r="D88" s="2" t="s">
        <v>388</v>
      </c>
      <c r="E88" s="2" t="s">
        <v>389</v>
      </c>
      <c r="F88" s="6" t="s">
        <v>25</v>
      </c>
      <c r="G88" s="6">
        <v>6.0</v>
      </c>
      <c r="H88" s="6" t="s">
        <v>25</v>
      </c>
      <c r="I88" s="6">
        <v>14.0</v>
      </c>
      <c r="J88" s="6">
        <v>6.0</v>
      </c>
      <c r="K88" s="6" t="s">
        <v>259</v>
      </c>
      <c r="L88" s="7">
        <v>1.0</v>
      </c>
      <c r="M88" s="6" t="s">
        <v>25</v>
      </c>
      <c r="N88" s="7" t="s">
        <v>25</v>
      </c>
      <c r="O88" s="2" t="s">
        <v>390</v>
      </c>
      <c r="P88" s="2" t="s">
        <v>27</v>
      </c>
      <c r="Q88" s="8" t="s">
        <v>28</v>
      </c>
      <c r="R88" s="2" t="s">
        <v>25</v>
      </c>
      <c r="S88" s="2" t="s">
        <v>25</v>
      </c>
      <c r="T88" s="9" t="s">
        <v>42</v>
      </c>
    </row>
    <row r="89" ht="15.75" customHeight="1">
      <c r="A89" s="2" t="s">
        <v>391</v>
      </c>
      <c r="B89" s="4" t="s">
        <v>101</v>
      </c>
      <c r="C89" s="4" t="s">
        <v>392</v>
      </c>
      <c r="D89" s="2" t="s">
        <v>393</v>
      </c>
      <c r="E89" s="2" t="s">
        <v>394</v>
      </c>
      <c r="F89" s="6" t="s">
        <v>25</v>
      </c>
      <c r="G89" s="6">
        <v>20.8</v>
      </c>
      <c r="H89" s="6">
        <v>23.7</v>
      </c>
      <c r="I89" s="6">
        <v>18.0</v>
      </c>
      <c r="J89" s="6">
        <v>23.7</v>
      </c>
      <c r="K89" s="6">
        <v>7.59</v>
      </c>
      <c r="L89" s="7">
        <v>35.0</v>
      </c>
      <c r="M89" s="6" t="s">
        <v>25</v>
      </c>
      <c r="N89" s="7" t="s">
        <v>25</v>
      </c>
      <c r="O89" s="2" t="s">
        <v>395</v>
      </c>
      <c r="P89" s="2" t="s">
        <v>27</v>
      </c>
      <c r="Q89" s="8" t="s">
        <v>28</v>
      </c>
      <c r="R89" s="2" t="s">
        <v>25</v>
      </c>
      <c r="S89" s="2" t="s">
        <v>25</v>
      </c>
      <c r="T89" s="9" t="s">
        <v>42</v>
      </c>
    </row>
    <row r="90" ht="15.75" customHeight="1">
      <c r="A90" s="2" t="s">
        <v>396</v>
      </c>
      <c r="B90" s="4" t="s">
        <v>162</v>
      </c>
      <c r="C90" s="4" t="s">
        <v>397</v>
      </c>
      <c r="D90" s="2" t="s">
        <v>398</v>
      </c>
      <c r="E90" s="2" t="s">
        <v>399</v>
      </c>
      <c r="F90" s="6" t="s">
        <v>25</v>
      </c>
      <c r="G90" s="6">
        <v>10.5</v>
      </c>
      <c r="H90" s="6">
        <v>12.0</v>
      </c>
      <c r="I90" s="6">
        <v>18.0</v>
      </c>
      <c r="J90" s="6">
        <v>12.0</v>
      </c>
      <c r="K90" s="6" t="s">
        <v>25</v>
      </c>
      <c r="L90" s="7">
        <v>73.0</v>
      </c>
      <c r="M90" s="6" t="s">
        <v>25</v>
      </c>
      <c r="N90" s="7" t="s">
        <v>25</v>
      </c>
      <c r="O90" s="2" t="s">
        <v>400</v>
      </c>
      <c r="P90" s="2" t="s">
        <v>25</v>
      </c>
      <c r="Q90" s="8" t="s">
        <v>28</v>
      </c>
      <c r="R90" s="2" t="s">
        <v>25</v>
      </c>
      <c r="S90" s="2" t="s">
        <v>25</v>
      </c>
      <c r="T90" s="9" t="s">
        <v>42</v>
      </c>
    </row>
    <row r="91" ht="15.75" customHeight="1">
      <c r="A91" s="2" t="s">
        <v>401</v>
      </c>
      <c r="B91" s="3" t="s">
        <v>37</v>
      </c>
      <c r="C91" s="4" t="s">
        <v>38</v>
      </c>
      <c r="D91" s="2" t="s">
        <v>402</v>
      </c>
      <c r="E91" s="2" t="s">
        <v>403</v>
      </c>
      <c r="F91" s="6" t="s">
        <v>25</v>
      </c>
      <c r="G91" s="6">
        <v>2.5</v>
      </c>
      <c r="H91" s="6">
        <v>2.75</v>
      </c>
      <c r="I91" s="6">
        <v>18.0</v>
      </c>
      <c r="J91" s="6">
        <v>2.75</v>
      </c>
      <c r="K91" s="6">
        <v>2.08</v>
      </c>
      <c r="L91" s="7">
        <v>17.0</v>
      </c>
      <c r="M91" s="6" t="s">
        <v>25</v>
      </c>
      <c r="N91" s="7" t="s">
        <v>25</v>
      </c>
      <c r="O91" s="2" t="s">
        <v>404</v>
      </c>
      <c r="P91" s="2" t="s">
        <v>27</v>
      </c>
      <c r="Q91" s="8" t="s">
        <v>28</v>
      </c>
      <c r="R91" s="2" t="s">
        <v>25</v>
      </c>
      <c r="S91" s="2" t="s">
        <v>25</v>
      </c>
      <c r="T91" s="9" t="s">
        <v>42</v>
      </c>
    </row>
    <row r="92" ht="15.75" customHeight="1">
      <c r="A92" s="2" t="s">
        <v>405</v>
      </c>
      <c r="B92" s="3" t="s">
        <v>37</v>
      </c>
      <c r="C92" s="4" t="s">
        <v>38</v>
      </c>
      <c r="D92" s="2" t="s">
        <v>406</v>
      </c>
      <c r="E92" s="2" t="s">
        <v>407</v>
      </c>
      <c r="F92" s="6" t="s">
        <v>25</v>
      </c>
      <c r="G92" s="6">
        <v>4.8</v>
      </c>
      <c r="H92" s="6">
        <v>5.5</v>
      </c>
      <c r="I92" s="6">
        <v>18.0</v>
      </c>
      <c r="J92" s="6">
        <v>5.5</v>
      </c>
      <c r="K92" s="6">
        <v>2.18</v>
      </c>
      <c r="L92" s="7">
        <v>26.0</v>
      </c>
      <c r="M92" s="6" t="s">
        <v>25</v>
      </c>
      <c r="N92" s="7" t="s">
        <v>25</v>
      </c>
      <c r="O92" s="2" t="s">
        <v>408</v>
      </c>
      <c r="P92" s="2" t="s">
        <v>27</v>
      </c>
      <c r="Q92" s="8" t="s">
        <v>28</v>
      </c>
      <c r="R92" s="2" t="s">
        <v>25</v>
      </c>
      <c r="S92" s="2" t="s">
        <v>25</v>
      </c>
      <c r="T92" s="9" t="s">
        <v>42</v>
      </c>
    </row>
    <row r="93" ht="15.75" customHeight="1">
      <c r="A93" s="2" t="s">
        <v>409</v>
      </c>
      <c r="B93" s="3" t="s">
        <v>21</v>
      </c>
      <c r="C93" s="4" t="s">
        <v>244</v>
      </c>
      <c r="D93" s="2" t="s">
        <v>410</v>
      </c>
      <c r="E93" s="2" t="s">
        <v>411</v>
      </c>
      <c r="F93" s="6" t="s">
        <v>25</v>
      </c>
      <c r="G93" s="6">
        <v>1.25</v>
      </c>
      <c r="H93" s="6">
        <v>1.45</v>
      </c>
      <c r="I93" s="6">
        <v>18.0</v>
      </c>
      <c r="J93" s="6">
        <v>1.45</v>
      </c>
      <c r="K93" s="6" t="s">
        <v>259</v>
      </c>
      <c r="L93" s="7">
        <v>2.0</v>
      </c>
      <c r="M93" s="6" t="s">
        <v>25</v>
      </c>
      <c r="N93" s="7" t="s">
        <v>25</v>
      </c>
      <c r="O93" s="2" t="s">
        <v>412</v>
      </c>
      <c r="P93" s="2" t="s">
        <v>27</v>
      </c>
      <c r="Q93" s="8" t="s">
        <v>28</v>
      </c>
      <c r="R93" s="2" t="s">
        <v>25</v>
      </c>
      <c r="S93" s="2" t="s">
        <v>25</v>
      </c>
      <c r="T93" s="9" t="s">
        <v>42</v>
      </c>
    </row>
    <row r="94" ht="15.75" customHeight="1">
      <c r="A94" s="2" t="s">
        <v>413</v>
      </c>
      <c r="B94" s="3" t="s">
        <v>21</v>
      </c>
      <c r="C94" s="4" t="s">
        <v>244</v>
      </c>
      <c r="D94" s="2" t="s">
        <v>414</v>
      </c>
      <c r="E94" s="2" t="s">
        <v>415</v>
      </c>
      <c r="F94" s="6" t="s">
        <v>25</v>
      </c>
      <c r="G94" s="6">
        <v>0.9</v>
      </c>
      <c r="H94" s="6">
        <v>1.0</v>
      </c>
      <c r="I94" s="6">
        <v>18.0</v>
      </c>
      <c r="J94" s="6">
        <v>1.0</v>
      </c>
      <c r="K94" s="6" t="s">
        <v>259</v>
      </c>
      <c r="L94" s="7">
        <v>2.0</v>
      </c>
      <c r="M94" s="6" t="s">
        <v>25</v>
      </c>
      <c r="N94" s="7" t="s">
        <v>25</v>
      </c>
      <c r="O94" s="2" t="s">
        <v>416</v>
      </c>
      <c r="P94" s="2" t="s">
        <v>27</v>
      </c>
      <c r="Q94" s="8" t="s">
        <v>28</v>
      </c>
      <c r="R94" s="2" t="s">
        <v>25</v>
      </c>
      <c r="S94" s="2" t="s">
        <v>25</v>
      </c>
      <c r="T94" s="9" t="s">
        <v>42</v>
      </c>
    </row>
    <row r="95" ht="15.75" customHeight="1">
      <c r="A95" s="2" t="s">
        <v>417</v>
      </c>
      <c r="B95" s="3" t="s">
        <v>21</v>
      </c>
      <c r="C95" s="3" t="s">
        <v>267</v>
      </c>
      <c r="D95" s="2" t="s">
        <v>418</v>
      </c>
      <c r="E95" s="2" t="s">
        <v>419</v>
      </c>
      <c r="F95" s="6" t="s">
        <v>25</v>
      </c>
      <c r="G95" s="6">
        <v>3.5</v>
      </c>
      <c r="H95" s="6">
        <v>4.3</v>
      </c>
      <c r="I95" s="6">
        <v>18.0</v>
      </c>
      <c r="J95" s="6">
        <v>4.3</v>
      </c>
      <c r="K95" s="6">
        <v>0.58</v>
      </c>
      <c r="L95" s="7">
        <v>178.0</v>
      </c>
      <c r="M95" s="6" t="s">
        <v>25</v>
      </c>
      <c r="N95" s="7">
        <v>18.0</v>
      </c>
      <c r="O95" s="2" t="s">
        <v>420</v>
      </c>
      <c r="P95" s="2" t="s">
        <v>27</v>
      </c>
      <c r="Q95" s="8" t="s">
        <v>28</v>
      </c>
      <c r="R95" s="2" t="s">
        <v>25</v>
      </c>
      <c r="S95" s="2" t="s">
        <v>25</v>
      </c>
      <c r="T95" s="9" t="s">
        <v>42</v>
      </c>
    </row>
    <row r="96" ht="15.75" customHeight="1">
      <c r="A96" s="2" t="s">
        <v>421</v>
      </c>
      <c r="B96" s="3" t="s">
        <v>37</v>
      </c>
      <c r="C96" s="4" t="s">
        <v>422</v>
      </c>
      <c r="D96" s="2" t="s">
        <v>423</v>
      </c>
      <c r="E96" s="2" t="s">
        <v>424</v>
      </c>
      <c r="F96" s="6" t="s">
        <v>25</v>
      </c>
      <c r="G96" s="6">
        <v>5.7</v>
      </c>
      <c r="H96" s="6">
        <v>6.5</v>
      </c>
      <c r="I96" s="6">
        <v>18.0</v>
      </c>
      <c r="J96" s="6">
        <v>6.5</v>
      </c>
      <c r="K96" s="6">
        <v>0.42</v>
      </c>
      <c r="L96" s="7">
        <v>44.0</v>
      </c>
      <c r="M96" s="6">
        <v>0.42</v>
      </c>
      <c r="N96" s="7">
        <v>20.0</v>
      </c>
      <c r="O96" s="2" t="s">
        <v>425</v>
      </c>
      <c r="P96" s="2" t="s">
        <v>27</v>
      </c>
      <c r="Q96" s="8" t="s">
        <v>28</v>
      </c>
      <c r="R96" s="2" t="s">
        <v>25</v>
      </c>
      <c r="S96" s="2" t="s">
        <v>25</v>
      </c>
      <c r="T96" s="9" t="s">
        <v>42</v>
      </c>
    </row>
    <row r="97" ht="15.75" customHeight="1">
      <c r="A97" s="2" t="s">
        <v>426</v>
      </c>
      <c r="B97" s="4" t="s">
        <v>218</v>
      </c>
      <c r="C97" s="4" t="s">
        <v>96</v>
      </c>
      <c r="D97" s="2" t="s">
        <v>427</v>
      </c>
      <c r="E97" s="2" t="s">
        <v>428</v>
      </c>
      <c r="F97" s="6" t="s">
        <v>25</v>
      </c>
      <c r="G97" s="6">
        <v>3.39</v>
      </c>
      <c r="H97" s="6">
        <v>3.86</v>
      </c>
      <c r="I97" s="6">
        <v>18.0</v>
      </c>
      <c r="J97" s="6">
        <v>3.86</v>
      </c>
      <c r="K97" s="6">
        <v>0.196</v>
      </c>
      <c r="L97" s="7">
        <v>28.0</v>
      </c>
      <c r="M97" s="6" t="s">
        <v>429</v>
      </c>
      <c r="N97" s="7">
        <v>3.0</v>
      </c>
      <c r="O97" s="2" t="s">
        <v>430</v>
      </c>
      <c r="P97" s="2" t="s">
        <v>27</v>
      </c>
      <c r="Q97" s="8" t="s">
        <v>28</v>
      </c>
      <c r="R97" s="2" t="s">
        <v>25</v>
      </c>
      <c r="S97" s="2" t="s">
        <v>25</v>
      </c>
      <c r="T97" s="9" t="s">
        <v>42</v>
      </c>
    </row>
    <row r="98" ht="15.75" customHeight="1">
      <c r="A98" s="2" t="s">
        <v>431</v>
      </c>
      <c r="B98" s="4" t="s">
        <v>218</v>
      </c>
      <c r="C98" s="4" t="s">
        <v>267</v>
      </c>
      <c r="D98" s="2" t="s">
        <v>432</v>
      </c>
      <c r="E98" s="2" t="s">
        <v>433</v>
      </c>
      <c r="F98" s="6" t="s">
        <v>25</v>
      </c>
      <c r="G98" s="6">
        <v>3.69</v>
      </c>
      <c r="H98" s="6">
        <v>4.2</v>
      </c>
      <c r="I98" s="6">
        <v>18.0</v>
      </c>
      <c r="J98" s="6">
        <v>4.2</v>
      </c>
      <c r="K98" s="6">
        <v>0.192</v>
      </c>
      <c r="L98" s="7">
        <v>48.0</v>
      </c>
      <c r="M98" s="6" t="s">
        <v>429</v>
      </c>
      <c r="N98" s="7">
        <v>6.0</v>
      </c>
      <c r="O98" s="2" t="s">
        <v>434</v>
      </c>
      <c r="P98" s="2" t="s">
        <v>27</v>
      </c>
      <c r="Q98" s="8" t="s">
        <v>28</v>
      </c>
      <c r="R98" s="2" t="s">
        <v>25</v>
      </c>
      <c r="S98" s="2" t="s">
        <v>25</v>
      </c>
      <c r="T98" s="9" t="s">
        <v>42</v>
      </c>
    </row>
    <row r="99" ht="15.75" customHeight="1">
      <c r="A99" s="2" t="s">
        <v>435</v>
      </c>
      <c r="B99" s="3" t="s">
        <v>21</v>
      </c>
      <c r="C99" s="4" t="s">
        <v>267</v>
      </c>
      <c r="D99" s="2" t="s">
        <v>436</v>
      </c>
      <c r="E99" s="2" t="s">
        <v>437</v>
      </c>
      <c r="F99" s="6" t="s">
        <v>25</v>
      </c>
      <c r="G99" s="6">
        <v>3.94</v>
      </c>
      <c r="H99" s="6">
        <v>4.5</v>
      </c>
      <c r="I99" s="6">
        <v>18.0</v>
      </c>
      <c r="J99" s="6">
        <v>4.5</v>
      </c>
      <c r="K99" s="6" t="s">
        <v>438</v>
      </c>
      <c r="L99" s="7">
        <v>24.0</v>
      </c>
      <c r="M99" s="6" t="s">
        <v>439</v>
      </c>
      <c r="N99" s="7" t="s">
        <v>25</v>
      </c>
      <c r="O99" s="2" t="s">
        <v>440</v>
      </c>
      <c r="P99" s="2" t="s">
        <v>27</v>
      </c>
      <c r="Q99" s="8" t="s">
        <v>28</v>
      </c>
      <c r="R99" s="2" t="s">
        <v>25</v>
      </c>
      <c r="S99" s="2" t="s">
        <v>25</v>
      </c>
      <c r="T99" s="9" t="s">
        <v>42</v>
      </c>
    </row>
    <row r="100" ht="15.75" customHeight="1">
      <c r="A100" s="2" t="s">
        <v>441</v>
      </c>
      <c r="B100" s="4" t="s">
        <v>162</v>
      </c>
      <c r="C100" s="4" t="s">
        <v>442</v>
      </c>
      <c r="D100" s="2" t="s">
        <v>443</v>
      </c>
      <c r="E100" s="2" t="s">
        <v>444</v>
      </c>
      <c r="F100" s="6" t="s">
        <v>25</v>
      </c>
      <c r="G100" s="6" t="s">
        <v>25</v>
      </c>
      <c r="H100" s="6">
        <v>9.0</v>
      </c>
      <c r="I100" s="6">
        <v>18.0</v>
      </c>
      <c r="J100" s="6">
        <v>9.0</v>
      </c>
      <c r="K100" s="6">
        <v>0.765</v>
      </c>
      <c r="L100" s="7">
        <v>148.0</v>
      </c>
      <c r="M100" s="6" t="s">
        <v>445</v>
      </c>
      <c r="N100" s="7">
        <v>4.0</v>
      </c>
      <c r="O100" s="2" t="s">
        <v>446</v>
      </c>
      <c r="P100" s="2" t="s">
        <v>27</v>
      </c>
      <c r="Q100" s="8" t="s">
        <v>28</v>
      </c>
      <c r="R100" s="2" t="s">
        <v>25</v>
      </c>
      <c r="S100" s="2" t="s">
        <v>25</v>
      </c>
      <c r="T100" s="9" t="s">
        <v>42</v>
      </c>
    </row>
    <row r="101" ht="15.75" customHeight="1">
      <c r="A101" s="2" t="s">
        <v>447</v>
      </c>
      <c r="B101" s="4" t="s">
        <v>183</v>
      </c>
      <c r="C101" s="3" t="s">
        <v>262</v>
      </c>
      <c r="D101" s="2" t="s">
        <v>25</v>
      </c>
      <c r="E101" s="2" t="s">
        <v>448</v>
      </c>
      <c r="F101" s="6" t="s">
        <v>25</v>
      </c>
      <c r="G101" s="6" t="s">
        <v>25</v>
      </c>
      <c r="H101" s="6">
        <v>40.0</v>
      </c>
      <c r="I101" s="6">
        <v>18.0</v>
      </c>
      <c r="J101" s="6">
        <v>40.0</v>
      </c>
      <c r="K101" s="6">
        <v>9.674</v>
      </c>
      <c r="L101" s="7">
        <v>380.0</v>
      </c>
      <c r="M101" s="6" t="s">
        <v>449</v>
      </c>
      <c r="N101" s="7" t="s">
        <v>25</v>
      </c>
      <c r="O101" s="2" t="s">
        <v>450</v>
      </c>
      <c r="P101" s="2" t="s">
        <v>27</v>
      </c>
      <c r="Q101" s="8" t="s">
        <v>28</v>
      </c>
      <c r="R101" s="2" t="s">
        <v>25</v>
      </c>
      <c r="S101" s="2" t="s">
        <v>25</v>
      </c>
      <c r="T101" s="9" t="s">
        <v>42</v>
      </c>
    </row>
    <row r="102" ht="15.75" customHeight="1">
      <c r="A102" s="2" t="s">
        <v>451</v>
      </c>
      <c r="B102" s="4" t="s">
        <v>183</v>
      </c>
      <c r="C102" s="4" t="s">
        <v>267</v>
      </c>
      <c r="D102" s="2" t="s">
        <v>452</v>
      </c>
      <c r="E102" s="2" t="s">
        <v>453</v>
      </c>
      <c r="F102" s="6" t="s">
        <v>25</v>
      </c>
      <c r="G102" s="6">
        <v>2.2</v>
      </c>
      <c r="H102" s="6">
        <v>2.45</v>
      </c>
      <c r="I102" s="6">
        <v>18.0</v>
      </c>
      <c r="J102" s="6">
        <v>2.45</v>
      </c>
      <c r="K102" s="6">
        <v>0.432</v>
      </c>
      <c r="L102" s="7">
        <v>74.0</v>
      </c>
      <c r="M102" s="6" t="s">
        <v>25</v>
      </c>
      <c r="N102" s="7">
        <v>16.0</v>
      </c>
      <c r="O102" s="2" t="s">
        <v>454</v>
      </c>
      <c r="P102" s="2" t="s">
        <v>27</v>
      </c>
      <c r="Q102" s="8" t="s">
        <v>28</v>
      </c>
      <c r="R102" s="2" t="s">
        <v>25</v>
      </c>
      <c r="S102" s="2" t="s">
        <v>25</v>
      </c>
      <c r="T102" s="9" t="s">
        <v>42</v>
      </c>
    </row>
    <row r="103" ht="15.75" customHeight="1">
      <c r="A103" s="2" t="s">
        <v>455</v>
      </c>
      <c r="B103" s="3" t="s">
        <v>21</v>
      </c>
      <c r="C103" s="4" t="s">
        <v>267</v>
      </c>
      <c r="D103" s="2" t="s">
        <v>456</v>
      </c>
      <c r="E103" s="2" t="s">
        <v>457</v>
      </c>
      <c r="F103" s="6" t="s">
        <v>25</v>
      </c>
      <c r="G103" s="6">
        <v>2.35</v>
      </c>
      <c r="H103" s="6" t="s">
        <v>25</v>
      </c>
      <c r="I103" s="6">
        <v>14.0</v>
      </c>
      <c r="J103" s="6">
        <v>2.35</v>
      </c>
      <c r="K103" s="6">
        <v>1.368</v>
      </c>
      <c r="L103" s="7">
        <v>74.0</v>
      </c>
      <c r="M103" s="6" t="s">
        <v>458</v>
      </c>
      <c r="N103" s="7">
        <v>2.0</v>
      </c>
      <c r="O103" s="2" t="s">
        <v>459</v>
      </c>
      <c r="P103" s="2" t="s">
        <v>27</v>
      </c>
      <c r="Q103" s="8" t="s">
        <v>28</v>
      </c>
      <c r="R103" s="2" t="s">
        <v>25</v>
      </c>
      <c r="S103" s="2" t="s">
        <v>25</v>
      </c>
      <c r="T103" s="9" t="s">
        <v>42</v>
      </c>
    </row>
    <row r="104" ht="15.75" customHeight="1">
      <c r="A104" s="2" t="s">
        <v>460</v>
      </c>
      <c r="B104" s="3" t="s">
        <v>21</v>
      </c>
      <c r="C104" s="4" t="s">
        <v>244</v>
      </c>
      <c r="D104" s="2" t="s">
        <v>25</v>
      </c>
      <c r="E104" s="2" t="s">
        <v>461</v>
      </c>
      <c r="F104" s="6" t="s">
        <v>25</v>
      </c>
      <c r="G104" s="6">
        <v>4.1</v>
      </c>
      <c r="H104" s="6">
        <v>4.7</v>
      </c>
      <c r="I104" s="6">
        <v>18.0</v>
      </c>
      <c r="J104" s="6">
        <v>4.7</v>
      </c>
      <c r="K104" s="6">
        <v>1.962</v>
      </c>
      <c r="L104" s="7">
        <v>156.0</v>
      </c>
      <c r="M104" s="6" t="s">
        <v>25</v>
      </c>
      <c r="N104" s="7" t="s">
        <v>25</v>
      </c>
      <c r="O104" s="2" t="s">
        <v>462</v>
      </c>
      <c r="P104" s="2" t="s">
        <v>27</v>
      </c>
      <c r="Q104" s="8" t="s">
        <v>28</v>
      </c>
      <c r="R104" s="2" t="s">
        <v>25</v>
      </c>
      <c r="S104" s="2" t="s">
        <v>25</v>
      </c>
      <c r="T104" s="9" t="s">
        <v>42</v>
      </c>
    </row>
    <row r="105" ht="15.75" customHeight="1">
      <c r="A105" s="2" t="s">
        <v>463</v>
      </c>
      <c r="B105" s="3" t="s">
        <v>37</v>
      </c>
      <c r="C105" s="4" t="s">
        <v>257</v>
      </c>
      <c r="D105" s="2" t="s">
        <v>464</v>
      </c>
      <c r="E105" s="2" t="s">
        <v>465</v>
      </c>
      <c r="F105" s="6" t="s">
        <v>25</v>
      </c>
      <c r="G105" s="6">
        <v>4.5</v>
      </c>
      <c r="H105" s="6">
        <v>5.0</v>
      </c>
      <c r="I105" s="6">
        <v>18.0</v>
      </c>
      <c r="J105" s="6">
        <v>5.0</v>
      </c>
      <c r="K105" s="6">
        <v>0.72</v>
      </c>
      <c r="L105" s="7">
        <v>13.0</v>
      </c>
      <c r="M105" s="6" t="s">
        <v>25</v>
      </c>
      <c r="N105" s="7" t="s">
        <v>25</v>
      </c>
      <c r="O105" s="2" t="s">
        <v>466</v>
      </c>
      <c r="P105" s="2" t="s">
        <v>27</v>
      </c>
      <c r="Q105" s="8" t="s">
        <v>28</v>
      </c>
      <c r="R105" s="2" t="s">
        <v>25</v>
      </c>
      <c r="S105" s="2" t="s">
        <v>25</v>
      </c>
      <c r="T105" s="9" t="s">
        <v>42</v>
      </c>
    </row>
    <row r="106" ht="15.75" customHeight="1">
      <c r="A106" s="2" t="s">
        <v>467</v>
      </c>
      <c r="B106" s="4" t="s">
        <v>162</v>
      </c>
      <c r="C106" s="4" t="s">
        <v>468</v>
      </c>
      <c r="D106" s="2" t="s">
        <v>469</v>
      </c>
      <c r="E106" s="2" t="s">
        <v>470</v>
      </c>
      <c r="F106" s="6" t="s">
        <v>25</v>
      </c>
      <c r="G106" s="6">
        <v>9.9</v>
      </c>
      <c r="H106" s="6">
        <v>10.9</v>
      </c>
      <c r="I106" s="6">
        <v>18.0</v>
      </c>
      <c r="J106" s="6">
        <v>10.9</v>
      </c>
      <c r="K106" s="6" t="s">
        <v>376</v>
      </c>
      <c r="L106" s="7">
        <v>13.0</v>
      </c>
      <c r="M106" s="6" t="s">
        <v>376</v>
      </c>
      <c r="N106" s="7">
        <v>13.0</v>
      </c>
      <c r="O106" s="2" t="s">
        <v>471</v>
      </c>
      <c r="P106" s="2" t="s">
        <v>27</v>
      </c>
      <c r="Q106" s="8" t="s">
        <v>28</v>
      </c>
      <c r="R106" s="2" t="s">
        <v>25</v>
      </c>
      <c r="S106" s="2" t="s">
        <v>25</v>
      </c>
      <c r="T106" s="9" t="s">
        <v>42</v>
      </c>
    </row>
    <row r="107" ht="15.75" customHeight="1">
      <c r="A107" s="2" t="s">
        <v>472</v>
      </c>
      <c r="B107" s="4" t="s">
        <v>162</v>
      </c>
      <c r="C107" s="4" t="s">
        <v>468</v>
      </c>
      <c r="D107" s="2" t="s">
        <v>473</v>
      </c>
      <c r="E107" s="2" t="s">
        <v>474</v>
      </c>
      <c r="F107" s="6" t="s">
        <v>25</v>
      </c>
      <c r="G107" s="6">
        <v>9.8</v>
      </c>
      <c r="H107" s="6">
        <v>11.2</v>
      </c>
      <c r="I107" s="6">
        <v>18.0</v>
      </c>
      <c r="J107" s="6">
        <v>11.2</v>
      </c>
      <c r="K107" s="6" t="s">
        <v>438</v>
      </c>
      <c r="L107" s="7">
        <v>27.0</v>
      </c>
      <c r="M107" s="6" t="s">
        <v>376</v>
      </c>
      <c r="N107" s="7">
        <v>27.0</v>
      </c>
      <c r="O107" s="2" t="s">
        <v>475</v>
      </c>
      <c r="P107" s="2" t="s">
        <v>27</v>
      </c>
      <c r="Q107" s="8" t="s">
        <v>28</v>
      </c>
      <c r="R107" s="2" t="s">
        <v>25</v>
      </c>
      <c r="S107" s="2" t="s">
        <v>25</v>
      </c>
      <c r="T107" s="9" t="s">
        <v>42</v>
      </c>
    </row>
    <row r="108" ht="15.75" customHeight="1">
      <c r="A108" s="2" t="s">
        <v>476</v>
      </c>
      <c r="B108" s="3" t="s">
        <v>477</v>
      </c>
      <c r="C108" s="4" t="s">
        <v>468</v>
      </c>
      <c r="D108" s="2" t="s">
        <v>478</v>
      </c>
      <c r="E108" s="2" t="s">
        <v>479</v>
      </c>
      <c r="F108" s="6" t="s">
        <v>25</v>
      </c>
      <c r="G108" s="6">
        <v>13.15</v>
      </c>
      <c r="H108" s="6">
        <v>14.99</v>
      </c>
      <c r="I108" s="6">
        <v>18.0</v>
      </c>
      <c r="J108" s="6">
        <v>14.99</v>
      </c>
      <c r="K108" s="6" t="s">
        <v>438</v>
      </c>
      <c r="L108" s="7">
        <v>90.0</v>
      </c>
      <c r="M108" s="6" t="s">
        <v>25</v>
      </c>
      <c r="N108" s="7" t="s">
        <v>25</v>
      </c>
      <c r="O108" s="2" t="s">
        <v>480</v>
      </c>
      <c r="P108" s="2" t="s">
        <v>27</v>
      </c>
      <c r="Q108" s="8" t="s">
        <v>28</v>
      </c>
      <c r="R108" s="2" t="s">
        <v>25</v>
      </c>
      <c r="S108" s="2" t="s">
        <v>25</v>
      </c>
      <c r="T108" s="9" t="s">
        <v>42</v>
      </c>
    </row>
    <row r="109" ht="15.75" customHeight="1">
      <c r="A109" s="2" t="s">
        <v>481</v>
      </c>
      <c r="B109" s="4" t="s">
        <v>162</v>
      </c>
      <c r="C109" s="4" t="s">
        <v>442</v>
      </c>
      <c r="D109" s="2" t="s">
        <v>482</v>
      </c>
      <c r="E109" s="2" t="s">
        <v>483</v>
      </c>
      <c r="F109" s="6" t="s">
        <v>25</v>
      </c>
      <c r="G109" s="6">
        <v>7.32</v>
      </c>
      <c r="H109" s="6">
        <v>8.34</v>
      </c>
      <c r="I109" s="6">
        <v>18.0</v>
      </c>
      <c r="J109" s="6">
        <v>8.34</v>
      </c>
      <c r="K109" s="6" t="s">
        <v>376</v>
      </c>
      <c r="L109" s="7">
        <v>12.0</v>
      </c>
      <c r="M109" s="6" t="s">
        <v>376</v>
      </c>
      <c r="N109" s="7">
        <v>12.0</v>
      </c>
      <c r="O109" s="2" t="s">
        <v>484</v>
      </c>
      <c r="P109" s="2" t="s">
        <v>27</v>
      </c>
      <c r="Q109" s="8" t="s">
        <v>28</v>
      </c>
      <c r="R109" s="2" t="s">
        <v>25</v>
      </c>
      <c r="S109" s="2" t="s">
        <v>25</v>
      </c>
      <c r="T109" s="9" t="s">
        <v>42</v>
      </c>
    </row>
    <row r="110" ht="15.75" customHeight="1">
      <c r="A110" s="2" t="s">
        <v>485</v>
      </c>
      <c r="B110" s="3" t="s">
        <v>101</v>
      </c>
      <c r="C110" s="4" t="s">
        <v>102</v>
      </c>
      <c r="D110" s="2" t="s">
        <v>25</v>
      </c>
      <c r="E110" s="2" t="s">
        <v>486</v>
      </c>
      <c r="F110" s="6" t="s">
        <v>25</v>
      </c>
      <c r="G110" s="6">
        <v>21.0</v>
      </c>
      <c r="H110" s="6">
        <v>24.0</v>
      </c>
      <c r="I110" s="6">
        <v>18.0</v>
      </c>
      <c r="J110" s="6">
        <v>24.0</v>
      </c>
      <c r="K110" s="6" t="s">
        <v>438</v>
      </c>
      <c r="L110" s="7">
        <v>139.0</v>
      </c>
      <c r="M110" s="6" t="s">
        <v>376</v>
      </c>
      <c r="N110" s="7">
        <v>137.0</v>
      </c>
      <c r="O110" s="2" t="s">
        <v>487</v>
      </c>
      <c r="P110" s="2" t="s">
        <v>27</v>
      </c>
      <c r="Q110" s="8" t="s">
        <v>28</v>
      </c>
      <c r="R110" s="2" t="s">
        <v>25</v>
      </c>
      <c r="S110" s="2" t="s">
        <v>25</v>
      </c>
      <c r="T110" s="9" t="s">
        <v>42</v>
      </c>
    </row>
    <row r="111" ht="15.75" customHeight="1">
      <c r="A111" s="2" t="s">
        <v>488</v>
      </c>
      <c r="B111" s="4" t="s">
        <v>183</v>
      </c>
      <c r="C111" s="3" t="s">
        <v>267</v>
      </c>
      <c r="D111" s="2" t="s">
        <v>25</v>
      </c>
      <c r="E111" s="2" t="s">
        <v>489</v>
      </c>
      <c r="F111" s="6" t="s">
        <v>25</v>
      </c>
      <c r="G111" s="6">
        <v>3.99</v>
      </c>
      <c r="H111" s="6">
        <v>4.44</v>
      </c>
      <c r="I111" s="6">
        <v>18.0</v>
      </c>
      <c r="J111" s="6">
        <v>4.44</v>
      </c>
      <c r="K111" s="6">
        <v>1.438</v>
      </c>
      <c r="L111" s="7">
        <v>44.0</v>
      </c>
      <c r="M111" s="6" t="s">
        <v>376</v>
      </c>
      <c r="N111" s="7">
        <v>4.0</v>
      </c>
      <c r="O111" s="2" t="s">
        <v>490</v>
      </c>
      <c r="P111" s="2" t="s">
        <v>27</v>
      </c>
      <c r="Q111" s="8" t="s">
        <v>28</v>
      </c>
      <c r="R111" s="2" t="s">
        <v>25</v>
      </c>
      <c r="S111" s="2" t="s">
        <v>25</v>
      </c>
      <c r="T111" s="9" t="s">
        <v>42</v>
      </c>
    </row>
    <row r="112" ht="15.75" customHeight="1">
      <c r="A112" s="2" t="s">
        <v>491</v>
      </c>
      <c r="B112" s="3" t="s">
        <v>21</v>
      </c>
      <c r="C112" s="4" t="s">
        <v>492</v>
      </c>
      <c r="D112" s="2" t="s">
        <v>25</v>
      </c>
      <c r="E112" s="2" t="s">
        <v>493</v>
      </c>
      <c r="F112" s="6" t="s">
        <v>25</v>
      </c>
      <c r="G112" s="6">
        <v>2.3</v>
      </c>
      <c r="H112" s="6">
        <v>2.6</v>
      </c>
      <c r="I112" s="6">
        <v>18.0</v>
      </c>
      <c r="J112" s="6">
        <v>2.6</v>
      </c>
      <c r="K112" s="6">
        <v>0.812</v>
      </c>
      <c r="L112" s="7">
        <v>40.0</v>
      </c>
      <c r="M112" s="6" t="s">
        <v>494</v>
      </c>
      <c r="N112" s="7">
        <v>2.0</v>
      </c>
      <c r="O112" s="2" t="s">
        <v>495</v>
      </c>
      <c r="P112" s="2" t="s">
        <v>27</v>
      </c>
      <c r="Q112" s="8" t="s">
        <v>28</v>
      </c>
      <c r="R112" s="2" t="s">
        <v>25</v>
      </c>
      <c r="S112" s="2" t="s">
        <v>25</v>
      </c>
      <c r="T112" s="9" t="s">
        <v>42</v>
      </c>
    </row>
    <row r="113" ht="15.75" customHeight="1">
      <c r="A113" s="2" t="s">
        <v>496</v>
      </c>
      <c r="B113" s="4" t="s">
        <v>37</v>
      </c>
      <c r="C113" s="4" t="s">
        <v>108</v>
      </c>
      <c r="D113" s="2" t="s">
        <v>497</v>
      </c>
      <c r="E113" s="2" t="s">
        <v>498</v>
      </c>
      <c r="F113" s="6" t="s">
        <v>25</v>
      </c>
      <c r="G113" s="6">
        <v>8.55</v>
      </c>
      <c r="H113" s="6">
        <v>9.75</v>
      </c>
      <c r="I113" s="6">
        <v>18.0</v>
      </c>
      <c r="J113" s="6">
        <v>9.75</v>
      </c>
      <c r="K113" s="6">
        <v>0.554</v>
      </c>
      <c r="L113" s="7">
        <v>126.0</v>
      </c>
      <c r="M113" s="6" t="s">
        <v>376</v>
      </c>
      <c r="N113" s="7">
        <v>132.0</v>
      </c>
      <c r="O113" s="2" t="s">
        <v>499</v>
      </c>
      <c r="P113" s="2" t="s">
        <v>27</v>
      </c>
      <c r="Q113" s="8" t="s">
        <v>28</v>
      </c>
      <c r="R113" s="2" t="s">
        <v>25</v>
      </c>
      <c r="S113" s="2" t="s">
        <v>25</v>
      </c>
      <c r="T113" s="9" t="s">
        <v>42</v>
      </c>
    </row>
    <row r="114" ht="15.75" customHeight="1">
      <c r="A114" s="2" t="s">
        <v>500</v>
      </c>
      <c r="B114" s="3" t="s">
        <v>101</v>
      </c>
      <c r="C114" s="4" t="s">
        <v>501</v>
      </c>
      <c r="D114" s="2" t="s">
        <v>25</v>
      </c>
      <c r="E114" s="2" t="s">
        <v>502</v>
      </c>
      <c r="F114" s="6" t="s">
        <v>25</v>
      </c>
      <c r="G114" s="6">
        <v>20.0</v>
      </c>
      <c r="H114" s="6">
        <v>22.0</v>
      </c>
      <c r="I114" s="6">
        <v>18.0</v>
      </c>
      <c r="J114" s="6">
        <v>22.0</v>
      </c>
      <c r="K114" s="6">
        <v>3.945</v>
      </c>
      <c r="L114" s="7">
        <v>182.0</v>
      </c>
      <c r="M114" s="6" t="s">
        <v>25</v>
      </c>
      <c r="N114" s="7">
        <v>2.0</v>
      </c>
      <c r="O114" s="2" t="s">
        <v>503</v>
      </c>
      <c r="P114" s="2" t="s">
        <v>27</v>
      </c>
      <c r="Q114" s="8" t="s">
        <v>28</v>
      </c>
      <c r="R114" s="2" t="s">
        <v>25</v>
      </c>
      <c r="S114" s="2" t="s">
        <v>25</v>
      </c>
      <c r="T114" s="9" t="s">
        <v>42</v>
      </c>
    </row>
    <row r="115" ht="15.75" customHeight="1">
      <c r="A115" s="2" t="s">
        <v>504</v>
      </c>
      <c r="B115" s="3" t="s">
        <v>21</v>
      </c>
      <c r="C115" s="4" t="s">
        <v>267</v>
      </c>
      <c r="D115" s="2" t="s">
        <v>505</v>
      </c>
      <c r="E115" s="2" t="s">
        <v>506</v>
      </c>
      <c r="F115" s="6" t="s">
        <v>25</v>
      </c>
      <c r="G115" s="6">
        <v>3.3</v>
      </c>
      <c r="H115" s="6">
        <v>3.7</v>
      </c>
      <c r="I115" s="6">
        <v>18.0</v>
      </c>
      <c r="J115" s="6">
        <v>3.7</v>
      </c>
      <c r="K115" s="6">
        <v>1.1</v>
      </c>
      <c r="L115" s="7">
        <v>26.0</v>
      </c>
      <c r="M115" s="6" t="s">
        <v>439</v>
      </c>
      <c r="N115" s="7" t="s">
        <v>25</v>
      </c>
      <c r="O115" s="2" t="s">
        <v>507</v>
      </c>
      <c r="P115" s="2" t="s">
        <v>27</v>
      </c>
      <c r="Q115" s="8" t="s">
        <v>28</v>
      </c>
      <c r="R115" s="2" t="s">
        <v>25</v>
      </c>
      <c r="S115" s="2" t="s">
        <v>25</v>
      </c>
      <c r="T115" s="9" t="s">
        <v>42</v>
      </c>
    </row>
    <row r="116" ht="15.75" customHeight="1">
      <c r="A116" s="2" t="s">
        <v>508</v>
      </c>
      <c r="B116" s="4" t="s">
        <v>218</v>
      </c>
      <c r="C116" s="4" t="s">
        <v>49</v>
      </c>
      <c r="D116" s="2" t="s">
        <v>509</v>
      </c>
      <c r="E116" s="2" t="s">
        <v>510</v>
      </c>
      <c r="F116" s="6" t="s">
        <v>25</v>
      </c>
      <c r="G116" s="6">
        <v>3.3</v>
      </c>
      <c r="H116" s="6">
        <v>3.8</v>
      </c>
      <c r="I116" s="6">
        <v>18.0</v>
      </c>
      <c r="J116" s="6">
        <v>3.8</v>
      </c>
      <c r="K116" s="6">
        <v>0.3681</v>
      </c>
      <c r="L116" s="7">
        <v>54.0</v>
      </c>
      <c r="M116" s="6" t="s">
        <v>511</v>
      </c>
      <c r="N116" s="7">
        <v>14.0</v>
      </c>
      <c r="O116" s="2" t="s">
        <v>512</v>
      </c>
      <c r="P116" s="2" t="s">
        <v>25</v>
      </c>
      <c r="Q116" s="8" t="s">
        <v>28</v>
      </c>
      <c r="R116" s="2" t="s">
        <v>25</v>
      </c>
      <c r="S116" s="2" t="s">
        <v>25</v>
      </c>
      <c r="T116" s="9" t="s">
        <v>42</v>
      </c>
    </row>
    <row r="117" ht="15.75" customHeight="1">
      <c r="A117" s="2" t="s">
        <v>513</v>
      </c>
      <c r="B117" s="4" t="s">
        <v>218</v>
      </c>
      <c r="C117" s="4" t="s">
        <v>189</v>
      </c>
      <c r="D117" s="2" t="s">
        <v>514</v>
      </c>
      <c r="E117" s="2" t="s">
        <v>25</v>
      </c>
      <c r="F117" s="6" t="s">
        <v>25</v>
      </c>
      <c r="G117" s="6" t="s">
        <v>25</v>
      </c>
      <c r="H117" s="6" t="s">
        <v>25</v>
      </c>
      <c r="I117" s="6" t="s">
        <v>25</v>
      </c>
      <c r="J117" s="6" t="s">
        <v>25</v>
      </c>
      <c r="K117" s="6" t="s">
        <v>25</v>
      </c>
      <c r="L117" s="7" t="s">
        <v>25</v>
      </c>
      <c r="M117" s="6" t="s">
        <v>25</v>
      </c>
      <c r="N117" s="7" t="s">
        <v>25</v>
      </c>
      <c r="O117" s="2" t="s">
        <v>515</v>
      </c>
      <c r="P117" s="2" t="s">
        <v>25</v>
      </c>
      <c r="Q117" s="8" t="s">
        <v>28</v>
      </c>
      <c r="R117" s="2" t="s">
        <v>25</v>
      </c>
      <c r="S117" s="2" t="s">
        <v>25</v>
      </c>
      <c r="T117" s="9" t="s">
        <v>42</v>
      </c>
    </row>
    <row r="118" ht="15.75" customHeight="1">
      <c r="A118" s="2" t="s">
        <v>516</v>
      </c>
      <c r="B118" s="3" t="s">
        <v>37</v>
      </c>
      <c r="C118" s="4" t="s">
        <v>38</v>
      </c>
      <c r="D118" s="2" t="s">
        <v>517</v>
      </c>
      <c r="E118" s="2" t="s">
        <v>518</v>
      </c>
      <c r="F118" s="6" t="s">
        <v>25</v>
      </c>
      <c r="G118" s="6">
        <v>2.9</v>
      </c>
      <c r="H118" s="6">
        <v>3.2</v>
      </c>
      <c r="I118" s="6">
        <v>18.0</v>
      </c>
      <c r="J118" s="6">
        <v>3.2</v>
      </c>
      <c r="K118" s="6">
        <v>2.596</v>
      </c>
      <c r="L118" s="7">
        <v>31.0</v>
      </c>
      <c r="M118" s="6" t="s">
        <v>25</v>
      </c>
      <c r="N118" s="7" t="s">
        <v>25</v>
      </c>
      <c r="O118" s="2" t="s">
        <v>519</v>
      </c>
      <c r="P118" s="2" t="s">
        <v>27</v>
      </c>
      <c r="Q118" s="8" t="s">
        <v>28</v>
      </c>
      <c r="R118" s="2" t="s">
        <v>25</v>
      </c>
      <c r="S118" s="2" t="s">
        <v>25</v>
      </c>
      <c r="T118" s="9" t="s">
        <v>42</v>
      </c>
    </row>
    <row r="119" ht="15.75" customHeight="1">
      <c r="A119" s="2" t="s">
        <v>520</v>
      </c>
      <c r="B119" s="3" t="s">
        <v>37</v>
      </c>
      <c r="C119" s="4" t="s">
        <v>178</v>
      </c>
      <c r="D119" s="2" t="s">
        <v>521</v>
      </c>
      <c r="E119" s="2" t="s">
        <v>522</v>
      </c>
      <c r="F119" s="6" t="s">
        <v>25</v>
      </c>
      <c r="G119" s="6">
        <v>3.0</v>
      </c>
      <c r="H119" s="6">
        <v>3.3</v>
      </c>
      <c r="I119" s="6">
        <v>18.0</v>
      </c>
      <c r="J119" s="6">
        <v>3.3</v>
      </c>
      <c r="K119" s="6" t="s">
        <v>438</v>
      </c>
      <c r="L119" s="7">
        <v>2.0</v>
      </c>
      <c r="M119" s="6" t="s">
        <v>376</v>
      </c>
      <c r="N119" s="7">
        <v>2.0</v>
      </c>
      <c r="O119" s="2" t="s">
        <v>523</v>
      </c>
      <c r="P119" s="2" t="s">
        <v>27</v>
      </c>
      <c r="Q119" s="8" t="s">
        <v>28</v>
      </c>
      <c r="R119" s="2" t="s">
        <v>25</v>
      </c>
      <c r="S119" s="2" t="s">
        <v>25</v>
      </c>
      <c r="T119" s="9" t="s">
        <v>42</v>
      </c>
    </row>
    <row r="120" ht="15.75" customHeight="1">
      <c r="A120" s="2" t="s">
        <v>524</v>
      </c>
      <c r="B120" s="3" t="s">
        <v>37</v>
      </c>
      <c r="C120" s="4" t="s">
        <v>136</v>
      </c>
      <c r="D120" s="2" t="s">
        <v>525</v>
      </c>
      <c r="E120" s="2" t="s">
        <v>526</v>
      </c>
      <c r="F120" s="17" t="s">
        <v>527</v>
      </c>
      <c r="G120" s="6">
        <v>3.6</v>
      </c>
      <c r="H120" s="6">
        <v>4.0</v>
      </c>
      <c r="I120" s="6">
        <v>18.0</v>
      </c>
      <c r="J120" s="6">
        <v>4.0</v>
      </c>
      <c r="K120" s="6">
        <v>0.469</v>
      </c>
      <c r="L120" s="7">
        <v>49.0</v>
      </c>
      <c r="M120" s="6" t="s">
        <v>429</v>
      </c>
      <c r="N120" s="7">
        <v>1.0</v>
      </c>
      <c r="O120" s="2" t="s">
        <v>528</v>
      </c>
      <c r="P120" s="2" t="s">
        <v>27</v>
      </c>
      <c r="Q120" s="8" t="s">
        <v>28</v>
      </c>
      <c r="R120" s="2" t="s">
        <v>25</v>
      </c>
      <c r="S120" s="2" t="s">
        <v>25</v>
      </c>
      <c r="T120" s="9" t="s">
        <v>42</v>
      </c>
    </row>
    <row r="121" ht="15.75" customHeight="1">
      <c r="A121" s="2" t="s">
        <v>529</v>
      </c>
      <c r="B121" s="4" t="s">
        <v>162</v>
      </c>
      <c r="C121" s="4" t="s">
        <v>468</v>
      </c>
      <c r="D121" s="2" t="s">
        <v>25</v>
      </c>
      <c r="E121" s="2" t="s">
        <v>530</v>
      </c>
      <c r="F121" s="6" t="s">
        <v>25</v>
      </c>
      <c r="G121" s="6">
        <v>7.0</v>
      </c>
      <c r="H121" s="6">
        <v>7.5</v>
      </c>
      <c r="I121" s="6">
        <v>18.0</v>
      </c>
      <c r="J121" s="6">
        <v>7.5</v>
      </c>
      <c r="K121" s="6">
        <v>0.5</v>
      </c>
      <c r="L121" s="7">
        <v>11.0</v>
      </c>
      <c r="M121" s="6" t="s">
        <v>531</v>
      </c>
      <c r="N121" s="7">
        <v>9.0</v>
      </c>
      <c r="O121" s="2" t="s">
        <v>532</v>
      </c>
      <c r="P121" s="2" t="s">
        <v>27</v>
      </c>
      <c r="Q121" s="8" t="s">
        <v>28</v>
      </c>
      <c r="R121" s="2" t="s">
        <v>25</v>
      </c>
      <c r="S121" s="2" t="s">
        <v>25</v>
      </c>
      <c r="T121" s="9" t="s">
        <v>42</v>
      </c>
    </row>
    <row r="122" ht="15.75" customHeight="1">
      <c r="A122" s="2" t="s">
        <v>533</v>
      </c>
      <c r="B122" s="3" t="s">
        <v>37</v>
      </c>
      <c r="C122" s="4" t="s">
        <v>108</v>
      </c>
      <c r="D122" s="2" t="s">
        <v>534</v>
      </c>
      <c r="E122" s="2" t="s">
        <v>535</v>
      </c>
      <c r="F122" s="6" t="s">
        <v>25</v>
      </c>
      <c r="G122" s="6" t="s">
        <v>25</v>
      </c>
      <c r="H122" s="6" t="s">
        <v>25</v>
      </c>
      <c r="I122" s="6" t="s">
        <v>25</v>
      </c>
      <c r="J122" s="6" t="s">
        <v>25</v>
      </c>
      <c r="K122" s="6">
        <v>2.29</v>
      </c>
      <c r="L122" s="7">
        <v>77.0</v>
      </c>
      <c r="M122" s="6">
        <v>2.45</v>
      </c>
      <c r="N122" s="7">
        <v>1.0</v>
      </c>
      <c r="O122" s="2" t="s">
        <v>536</v>
      </c>
      <c r="P122" s="2" t="s">
        <v>27</v>
      </c>
      <c r="Q122" s="8" t="s">
        <v>28</v>
      </c>
      <c r="R122" s="2" t="s">
        <v>25</v>
      </c>
      <c r="S122" s="2" t="s">
        <v>25</v>
      </c>
      <c r="T122" s="9" t="s">
        <v>42</v>
      </c>
    </row>
    <row r="123" ht="15.75" customHeight="1">
      <c r="A123" s="2" t="s">
        <v>537</v>
      </c>
      <c r="B123" s="3" t="s">
        <v>37</v>
      </c>
      <c r="C123" s="4" t="s">
        <v>108</v>
      </c>
      <c r="D123" s="2" t="s">
        <v>25</v>
      </c>
      <c r="E123" s="2" t="s">
        <v>538</v>
      </c>
      <c r="F123" s="6" t="s">
        <v>25</v>
      </c>
      <c r="G123" s="6">
        <v>4.0</v>
      </c>
      <c r="H123" s="6">
        <v>4.5</v>
      </c>
      <c r="I123" s="6">
        <v>18.0</v>
      </c>
      <c r="J123" s="6">
        <v>4.5</v>
      </c>
      <c r="K123" s="6">
        <v>2.65</v>
      </c>
      <c r="L123" s="7">
        <v>19.0</v>
      </c>
      <c r="M123" s="6" t="s">
        <v>539</v>
      </c>
      <c r="N123" s="7">
        <v>1.0</v>
      </c>
      <c r="O123" s="2" t="s">
        <v>540</v>
      </c>
      <c r="P123" s="2" t="s">
        <v>27</v>
      </c>
      <c r="Q123" s="8" t="s">
        <v>28</v>
      </c>
      <c r="R123" s="2" t="s">
        <v>25</v>
      </c>
      <c r="S123" s="2" t="s">
        <v>25</v>
      </c>
      <c r="T123" s="9" t="s">
        <v>42</v>
      </c>
    </row>
    <row r="124" ht="15.75" customHeight="1">
      <c r="A124" s="2" t="s">
        <v>541</v>
      </c>
      <c r="B124" s="3" t="s">
        <v>37</v>
      </c>
      <c r="C124" s="4" t="s">
        <v>257</v>
      </c>
      <c r="D124" s="2" t="s">
        <v>542</v>
      </c>
      <c r="E124" s="2" t="s">
        <v>543</v>
      </c>
      <c r="F124" s="17" t="s">
        <v>527</v>
      </c>
      <c r="G124" s="6" t="s">
        <v>25</v>
      </c>
      <c r="H124" s="6" t="s">
        <v>25</v>
      </c>
      <c r="I124" s="6" t="s">
        <v>25</v>
      </c>
      <c r="J124" s="6" t="s">
        <v>25</v>
      </c>
      <c r="K124" s="6">
        <v>2.819</v>
      </c>
      <c r="L124" s="7">
        <v>145.0</v>
      </c>
      <c r="M124" s="6" t="s">
        <v>25</v>
      </c>
      <c r="N124" s="7" t="s">
        <v>25</v>
      </c>
      <c r="O124" s="2" t="s">
        <v>544</v>
      </c>
      <c r="P124" s="2" t="s">
        <v>27</v>
      </c>
      <c r="Q124" s="8" t="s">
        <v>28</v>
      </c>
      <c r="R124" s="2" t="s">
        <v>25</v>
      </c>
      <c r="S124" s="2" t="s">
        <v>25</v>
      </c>
      <c r="T124" s="9" t="s">
        <v>42</v>
      </c>
    </row>
    <row r="125" ht="15.75" customHeight="1">
      <c r="A125" s="2" t="s">
        <v>545</v>
      </c>
      <c r="B125" s="3" t="s">
        <v>37</v>
      </c>
      <c r="C125" s="4" t="s">
        <v>108</v>
      </c>
      <c r="D125" s="2" t="s">
        <v>546</v>
      </c>
      <c r="E125" s="2" t="s">
        <v>547</v>
      </c>
      <c r="F125" s="17" t="s">
        <v>527</v>
      </c>
      <c r="G125" s="6" t="s">
        <v>25</v>
      </c>
      <c r="H125" s="6">
        <v>6.6</v>
      </c>
      <c r="I125" s="6">
        <v>18.0</v>
      </c>
      <c r="J125" s="6">
        <v>6.6</v>
      </c>
      <c r="K125" s="6">
        <v>3.16</v>
      </c>
      <c r="L125" s="7">
        <v>20.0</v>
      </c>
      <c r="M125" s="6" t="s">
        <v>548</v>
      </c>
      <c r="N125" s="7" t="s">
        <v>25</v>
      </c>
      <c r="O125" s="2" t="s">
        <v>549</v>
      </c>
      <c r="P125" s="2" t="s">
        <v>25</v>
      </c>
      <c r="Q125" s="8" t="s">
        <v>28</v>
      </c>
      <c r="R125" s="2" t="s">
        <v>25</v>
      </c>
      <c r="S125" s="2" t="s">
        <v>25</v>
      </c>
      <c r="T125" s="9" t="s">
        <v>42</v>
      </c>
    </row>
    <row r="126" ht="15.75" customHeight="1">
      <c r="A126" s="2" t="s">
        <v>550</v>
      </c>
      <c r="B126" s="3" t="s">
        <v>37</v>
      </c>
      <c r="C126" s="4" t="s">
        <v>309</v>
      </c>
      <c r="D126" s="2" t="s">
        <v>551</v>
      </c>
      <c r="E126" s="2" t="s">
        <v>552</v>
      </c>
      <c r="F126" s="17" t="s">
        <v>527</v>
      </c>
      <c r="G126" s="6" t="s">
        <v>25</v>
      </c>
      <c r="H126" s="6">
        <v>6.5</v>
      </c>
      <c r="I126" s="6">
        <v>18.0</v>
      </c>
      <c r="J126" s="6">
        <v>6.5</v>
      </c>
      <c r="K126" s="6">
        <v>2.806</v>
      </c>
      <c r="L126" s="7">
        <v>75.0</v>
      </c>
      <c r="M126" s="6" t="s">
        <v>25</v>
      </c>
      <c r="N126" s="7" t="s">
        <v>25</v>
      </c>
      <c r="O126" s="2" t="s">
        <v>553</v>
      </c>
      <c r="P126" s="2" t="s">
        <v>27</v>
      </c>
      <c r="Q126" s="8" t="s">
        <v>28</v>
      </c>
      <c r="R126" s="2" t="s">
        <v>25</v>
      </c>
      <c r="S126" s="2" t="s">
        <v>25</v>
      </c>
      <c r="T126" s="9" t="s">
        <v>42</v>
      </c>
    </row>
    <row r="127" ht="15.75" customHeight="1">
      <c r="A127" s="2" t="s">
        <v>554</v>
      </c>
      <c r="B127" s="4" t="s">
        <v>162</v>
      </c>
      <c r="C127" s="4" t="s">
        <v>397</v>
      </c>
      <c r="D127" s="2" t="s">
        <v>555</v>
      </c>
      <c r="E127" s="2" t="s">
        <v>556</v>
      </c>
      <c r="F127" s="6" t="s">
        <v>25</v>
      </c>
      <c r="G127" s="6">
        <v>10.5</v>
      </c>
      <c r="H127" s="6">
        <v>9.5</v>
      </c>
      <c r="I127" s="6">
        <v>18.0</v>
      </c>
      <c r="J127" s="6">
        <v>9.5</v>
      </c>
      <c r="K127" s="6">
        <v>0.0</v>
      </c>
      <c r="L127" s="7">
        <v>32.0</v>
      </c>
      <c r="M127" s="6" t="s">
        <v>376</v>
      </c>
      <c r="N127" s="7">
        <v>32.0</v>
      </c>
      <c r="O127" s="2" t="s">
        <v>557</v>
      </c>
      <c r="P127" s="2" t="s">
        <v>27</v>
      </c>
      <c r="Q127" s="8" t="s">
        <v>28</v>
      </c>
      <c r="R127" s="2" t="s">
        <v>25</v>
      </c>
      <c r="S127" s="2" t="s">
        <v>25</v>
      </c>
      <c r="T127" s="9" t="s">
        <v>42</v>
      </c>
    </row>
    <row r="128" ht="15.75" customHeight="1">
      <c r="A128" s="2" t="s">
        <v>558</v>
      </c>
      <c r="B128" s="4" t="s">
        <v>162</v>
      </c>
      <c r="C128" s="4" t="s">
        <v>468</v>
      </c>
      <c r="D128" s="2" t="s">
        <v>559</v>
      </c>
      <c r="E128" s="2" t="s">
        <v>560</v>
      </c>
      <c r="F128" s="6" t="s">
        <v>25</v>
      </c>
      <c r="G128" s="6">
        <v>9.3</v>
      </c>
      <c r="H128" s="6" t="s">
        <v>25</v>
      </c>
      <c r="I128" s="6">
        <v>14.0</v>
      </c>
      <c r="J128" s="6">
        <v>9.3</v>
      </c>
      <c r="K128" s="6" t="s">
        <v>25</v>
      </c>
      <c r="L128" s="7" t="s">
        <v>25</v>
      </c>
      <c r="M128" s="6" t="s">
        <v>25</v>
      </c>
      <c r="N128" s="7" t="s">
        <v>25</v>
      </c>
      <c r="O128" s="2" t="s">
        <v>561</v>
      </c>
      <c r="P128" s="2" t="s">
        <v>25</v>
      </c>
      <c r="Q128" s="8" t="s">
        <v>28</v>
      </c>
      <c r="R128" s="2" t="s">
        <v>25</v>
      </c>
      <c r="S128" s="2" t="s">
        <v>25</v>
      </c>
      <c r="T128" s="9" t="s">
        <v>42</v>
      </c>
    </row>
    <row r="129" ht="15.75" customHeight="1">
      <c r="A129" s="2" t="s">
        <v>562</v>
      </c>
      <c r="B129" s="3" t="s">
        <v>21</v>
      </c>
      <c r="C129" s="4" t="s">
        <v>184</v>
      </c>
      <c r="D129" s="2" t="s">
        <v>563</v>
      </c>
      <c r="E129" s="2" t="s">
        <v>564</v>
      </c>
      <c r="F129" s="6" t="s">
        <v>25</v>
      </c>
      <c r="G129" s="6">
        <v>11.0</v>
      </c>
      <c r="H129" s="6">
        <v>12.0</v>
      </c>
      <c r="I129" s="6">
        <v>18.0</v>
      </c>
      <c r="J129" s="6">
        <v>12.0</v>
      </c>
      <c r="K129" s="6">
        <v>7.32</v>
      </c>
      <c r="L129" s="7">
        <v>78.0</v>
      </c>
      <c r="M129" s="6" t="s">
        <v>25</v>
      </c>
      <c r="N129" s="7" t="s">
        <v>25</v>
      </c>
      <c r="O129" s="2" t="s">
        <v>565</v>
      </c>
      <c r="P129" s="2" t="s">
        <v>27</v>
      </c>
      <c r="Q129" s="8" t="s">
        <v>28</v>
      </c>
      <c r="R129" s="2" t="s">
        <v>25</v>
      </c>
      <c r="S129" s="2" t="s">
        <v>25</v>
      </c>
      <c r="T129" s="9" t="s">
        <v>42</v>
      </c>
    </row>
    <row r="130" ht="15.75" customHeight="1">
      <c r="A130" s="2" t="s">
        <v>566</v>
      </c>
      <c r="B130" s="3" t="s">
        <v>477</v>
      </c>
      <c r="C130" s="4" t="s">
        <v>567</v>
      </c>
      <c r="D130" s="2" t="s">
        <v>568</v>
      </c>
      <c r="E130" s="2" t="s">
        <v>569</v>
      </c>
      <c r="F130" s="6" t="s">
        <v>25</v>
      </c>
      <c r="G130" s="6">
        <v>18.5</v>
      </c>
      <c r="H130" s="6" t="s">
        <v>25</v>
      </c>
      <c r="I130" s="6">
        <v>14.0</v>
      </c>
      <c r="J130" s="6">
        <v>18.5</v>
      </c>
      <c r="K130" s="6">
        <v>7.03</v>
      </c>
      <c r="L130" s="7">
        <v>44.0</v>
      </c>
      <c r="M130" s="6" t="s">
        <v>25</v>
      </c>
      <c r="N130" s="7">
        <v>44.0</v>
      </c>
      <c r="O130" s="2" t="s">
        <v>570</v>
      </c>
      <c r="P130" s="2" t="s">
        <v>27</v>
      </c>
      <c r="Q130" s="8" t="s">
        <v>28</v>
      </c>
      <c r="R130" s="2" t="s">
        <v>25</v>
      </c>
      <c r="S130" s="2" t="s">
        <v>25</v>
      </c>
      <c r="T130" s="9" t="s">
        <v>42</v>
      </c>
    </row>
    <row r="131" ht="15.75" customHeight="1">
      <c r="A131" s="2" t="s">
        <v>571</v>
      </c>
      <c r="B131" s="3" t="s">
        <v>101</v>
      </c>
      <c r="C131" s="4" t="s">
        <v>572</v>
      </c>
      <c r="D131" s="2" t="s">
        <v>573</v>
      </c>
      <c r="E131" s="2" t="s">
        <v>574</v>
      </c>
      <c r="F131" s="6" t="s">
        <v>25</v>
      </c>
      <c r="G131" s="6">
        <v>15.8</v>
      </c>
      <c r="H131" s="6">
        <v>17.5</v>
      </c>
      <c r="I131" s="6">
        <v>18.0</v>
      </c>
      <c r="J131" s="6">
        <v>17.5</v>
      </c>
      <c r="K131" s="6">
        <v>9.0</v>
      </c>
      <c r="L131" s="7">
        <v>60.0</v>
      </c>
      <c r="M131" s="6" t="s">
        <v>575</v>
      </c>
      <c r="N131" s="7">
        <v>1.0</v>
      </c>
      <c r="O131" s="2" t="s">
        <v>576</v>
      </c>
      <c r="P131" s="2" t="s">
        <v>27</v>
      </c>
      <c r="Q131" s="8" t="s">
        <v>28</v>
      </c>
      <c r="R131" s="2" t="s">
        <v>25</v>
      </c>
      <c r="S131" s="2" t="s">
        <v>25</v>
      </c>
      <c r="T131" s="9" t="s">
        <v>42</v>
      </c>
    </row>
    <row r="132" ht="15.75" customHeight="1">
      <c r="A132" s="2" t="s">
        <v>577</v>
      </c>
      <c r="B132" s="4" t="s">
        <v>162</v>
      </c>
      <c r="C132" s="4" t="s">
        <v>468</v>
      </c>
      <c r="D132" s="2" t="s">
        <v>578</v>
      </c>
      <c r="E132" s="2" t="s">
        <v>579</v>
      </c>
      <c r="F132" s="6" t="s">
        <v>25</v>
      </c>
      <c r="G132" s="6">
        <v>11.0</v>
      </c>
      <c r="H132" s="6">
        <v>12.0</v>
      </c>
      <c r="I132" s="6">
        <v>18.0</v>
      </c>
      <c r="J132" s="6">
        <v>12.0</v>
      </c>
      <c r="K132" s="6" t="s">
        <v>580</v>
      </c>
      <c r="L132" s="7">
        <v>46.0</v>
      </c>
      <c r="M132" s="6" t="s">
        <v>581</v>
      </c>
      <c r="N132" s="7">
        <v>2.0</v>
      </c>
      <c r="O132" s="2" t="s">
        <v>582</v>
      </c>
      <c r="P132" s="2" t="s">
        <v>25</v>
      </c>
      <c r="Q132" s="8" t="s">
        <v>28</v>
      </c>
      <c r="R132" s="2" t="s">
        <v>25</v>
      </c>
      <c r="S132" s="2" t="s">
        <v>25</v>
      </c>
      <c r="T132" s="9" t="s">
        <v>42</v>
      </c>
    </row>
    <row r="133" ht="15.75" customHeight="1">
      <c r="A133" s="2" t="s">
        <v>583</v>
      </c>
      <c r="B133" s="4" t="s">
        <v>44</v>
      </c>
      <c r="C133" s="4" t="s">
        <v>49</v>
      </c>
      <c r="D133" s="2" t="s">
        <v>25</v>
      </c>
      <c r="E133" s="2" t="s">
        <v>584</v>
      </c>
      <c r="F133" s="6" t="s">
        <v>25</v>
      </c>
      <c r="G133" s="6">
        <v>1.25</v>
      </c>
      <c r="H133" s="6">
        <v>1.4</v>
      </c>
      <c r="I133" s="6">
        <v>18.0</v>
      </c>
      <c r="J133" s="6">
        <v>1.4</v>
      </c>
      <c r="K133" s="6">
        <v>1.821</v>
      </c>
      <c r="L133" s="7">
        <v>9.0</v>
      </c>
      <c r="M133" s="6">
        <v>0.82</v>
      </c>
      <c r="N133" s="7">
        <v>1.0</v>
      </c>
      <c r="O133" s="2" t="s">
        <v>585</v>
      </c>
      <c r="P133" s="2" t="s">
        <v>27</v>
      </c>
      <c r="Q133" s="8" t="s">
        <v>28</v>
      </c>
      <c r="R133" s="2" t="s">
        <v>25</v>
      </c>
      <c r="S133" s="2" t="s">
        <v>25</v>
      </c>
      <c r="T133" s="9" t="s">
        <v>42</v>
      </c>
    </row>
    <row r="134" ht="15.75" customHeight="1">
      <c r="A134" s="2" t="s">
        <v>586</v>
      </c>
      <c r="B134" s="3" t="s">
        <v>37</v>
      </c>
      <c r="C134" s="4" t="s">
        <v>587</v>
      </c>
      <c r="D134" s="2" t="s">
        <v>588</v>
      </c>
      <c r="E134" s="2" t="s">
        <v>589</v>
      </c>
      <c r="F134" s="17" t="s">
        <v>527</v>
      </c>
      <c r="G134" s="6" t="s">
        <v>25</v>
      </c>
      <c r="H134" s="6">
        <v>6.4</v>
      </c>
      <c r="I134" s="6">
        <v>18.0</v>
      </c>
      <c r="J134" s="6">
        <v>6.4</v>
      </c>
      <c r="K134" s="6">
        <v>2.65</v>
      </c>
      <c r="L134" s="7">
        <v>111.0</v>
      </c>
      <c r="M134" s="6" t="s">
        <v>25</v>
      </c>
      <c r="N134" s="7" t="s">
        <v>25</v>
      </c>
      <c r="O134" s="2" t="s">
        <v>590</v>
      </c>
      <c r="P134" s="2" t="s">
        <v>27</v>
      </c>
      <c r="Q134" s="8" t="s">
        <v>28</v>
      </c>
      <c r="R134" s="2" t="s">
        <v>25</v>
      </c>
      <c r="S134" s="2" t="s">
        <v>25</v>
      </c>
      <c r="T134" s="9" t="s">
        <v>42</v>
      </c>
    </row>
    <row r="135" ht="15.75" customHeight="1">
      <c r="A135" s="2" t="s">
        <v>591</v>
      </c>
      <c r="B135" s="3" t="s">
        <v>37</v>
      </c>
      <c r="C135" s="4" t="s">
        <v>108</v>
      </c>
      <c r="D135" s="2" t="s">
        <v>25</v>
      </c>
      <c r="E135" s="2" t="s">
        <v>592</v>
      </c>
      <c r="F135" s="6" t="s">
        <v>25</v>
      </c>
      <c r="G135" s="6">
        <v>7.5</v>
      </c>
      <c r="H135" s="6">
        <v>8.4</v>
      </c>
      <c r="I135" s="6">
        <v>18.0</v>
      </c>
      <c r="J135" s="6">
        <v>8.4</v>
      </c>
      <c r="K135" s="6">
        <v>0.443</v>
      </c>
      <c r="L135" s="7">
        <v>43.0</v>
      </c>
      <c r="M135" s="6" t="s">
        <v>531</v>
      </c>
      <c r="N135" s="7">
        <v>35.0</v>
      </c>
      <c r="O135" s="2" t="s">
        <v>593</v>
      </c>
      <c r="P135" s="2" t="s">
        <v>27</v>
      </c>
      <c r="Q135" s="8" t="s">
        <v>28</v>
      </c>
      <c r="R135" s="2" t="s">
        <v>25</v>
      </c>
      <c r="S135" s="2" t="s">
        <v>25</v>
      </c>
      <c r="T135" s="9" t="s">
        <v>42</v>
      </c>
    </row>
    <row r="136" ht="15.75" customHeight="1">
      <c r="A136" s="2" t="s">
        <v>594</v>
      </c>
      <c r="B136" s="3" t="s">
        <v>37</v>
      </c>
      <c r="C136" s="4" t="s">
        <v>136</v>
      </c>
      <c r="D136" s="2" t="s">
        <v>595</v>
      </c>
      <c r="E136" s="2" t="s">
        <v>596</v>
      </c>
      <c r="F136" s="17" t="s">
        <v>527</v>
      </c>
      <c r="G136" s="6" t="s">
        <v>25</v>
      </c>
      <c r="H136" s="6">
        <v>4.0</v>
      </c>
      <c r="I136" s="6">
        <v>18.0</v>
      </c>
      <c r="J136" s="6">
        <v>4.0</v>
      </c>
      <c r="K136" s="6">
        <v>2.86</v>
      </c>
      <c r="L136" s="7">
        <v>6.0</v>
      </c>
      <c r="M136" s="6" t="s">
        <v>597</v>
      </c>
      <c r="N136" s="7">
        <v>6.0</v>
      </c>
      <c r="O136" s="2" t="s">
        <v>598</v>
      </c>
      <c r="P136" s="2" t="s">
        <v>27</v>
      </c>
      <c r="Q136" s="8" t="s">
        <v>28</v>
      </c>
      <c r="R136" s="2" t="s">
        <v>25</v>
      </c>
      <c r="S136" s="2" t="s">
        <v>25</v>
      </c>
      <c r="T136" s="9" t="s">
        <v>42</v>
      </c>
    </row>
    <row r="137" ht="15.75" customHeight="1">
      <c r="A137" s="2" t="s">
        <v>599</v>
      </c>
      <c r="B137" s="4" t="s">
        <v>162</v>
      </c>
      <c r="C137" s="4" t="s">
        <v>468</v>
      </c>
      <c r="D137" s="2" t="s">
        <v>600</v>
      </c>
      <c r="E137" s="2" t="s">
        <v>601</v>
      </c>
      <c r="F137" s="6" t="s">
        <v>25</v>
      </c>
      <c r="G137" s="6" t="s">
        <v>25</v>
      </c>
      <c r="H137" s="6">
        <v>7.0</v>
      </c>
      <c r="I137" s="6">
        <v>18.0</v>
      </c>
      <c r="J137" s="6">
        <v>7.0</v>
      </c>
      <c r="K137" s="6">
        <v>2.624</v>
      </c>
      <c r="L137" s="7">
        <v>79.0</v>
      </c>
      <c r="M137" s="6" t="s">
        <v>602</v>
      </c>
      <c r="N137" s="7" t="s">
        <v>25</v>
      </c>
      <c r="O137" s="2" t="s">
        <v>603</v>
      </c>
      <c r="P137" s="2" t="s">
        <v>27</v>
      </c>
      <c r="Q137" s="8" t="s">
        <v>28</v>
      </c>
      <c r="R137" s="2" t="s">
        <v>25</v>
      </c>
      <c r="S137" s="2" t="s">
        <v>25</v>
      </c>
      <c r="T137" s="9" t="s">
        <v>42</v>
      </c>
    </row>
    <row r="138" ht="15.75" customHeight="1">
      <c r="A138" s="18" t="s">
        <v>604</v>
      </c>
      <c r="B138" s="4" t="s">
        <v>21</v>
      </c>
      <c r="C138" s="4" t="s">
        <v>189</v>
      </c>
      <c r="D138" s="18" t="s">
        <v>605</v>
      </c>
      <c r="E138" s="19"/>
      <c r="F138" s="20"/>
      <c r="G138" s="20"/>
      <c r="H138" s="20"/>
      <c r="I138" s="20"/>
      <c r="J138" s="20"/>
      <c r="K138" s="20"/>
      <c r="L138" s="20"/>
      <c r="M138" s="20"/>
      <c r="N138" s="20"/>
      <c r="O138" s="19"/>
      <c r="P138" s="19"/>
      <c r="Q138" s="19"/>
      <c r="R138" s="19"/>
      <c r="S138" s="19"/>
      <c r="T138" s="21"/>
    </row>
    <row r="139" ht="43.5" customHeight="1">
      <c r="A139" s="22" t="s">
        <v>606</v>
      </c>
      <c r="B139" s="4" t="s">
        <v>162</v>
      </c>
      <c r="C139" s="4" t="s">
        <v>607</v>
      </c>
      <c r="D139" s="23"/>
      <c r="E139" s="19"/>
      <c r="F139" s="20"/>
      <c r="G139" s="20"/>
      <c r="H139" s="20"/>
      <c r="I139" s="20"/>
      <c r="J139" s="20"/>
      <c r="K139" s="20"/>
      <c r="L139" s="20"/>
      <c r="M139" s="20"/>
      <c r="N139" s="20"/>
      <c r="O139" s="19"/>
      <c r="P139" s="19"/>
      <c r="Q139" s="19"/>
      <c r="R139" s="19"/>
      <c r="S139" s="19"/>
      <c r="T139" s="21"/>
    </row>
    <row r="140" ht="43.5" customHeight="1">
      <c r="A140" s="18" t="s">
        <v>608</v>
      </c>
      <c r="B140" s="4" t="s">
        <v>37</v>
      </c>
      <c r="C140" s="4" t="s">
        <v>178</v>
      </c>
      <c r="D140" s="24"/>
      <c r="E140" s="19"/>
      <c r="F140" s="20"/>
      <c r="G140" s="20"/>
      <c r="H140" s="20"/>
      <c r="I140" s="20"/>
      <c r="J140" s="20"/>
      <c r="K140" s="20"/>
      <c r="L140" s="20"/>
      <c r="M140" s="20"/>
      <c r="N140" s="20"/>
      <c r="O140" s="19"/>
      <c r="P140" s="19"/>
      <c r="Q140" s="19"/>
      <c r="R140" s="19"/>
      <c r="S140" s="19"/>
      <c r="T140" s="21"/>
    </row>
    <row r="141" ht="43.5" customHeight="1">
      <c r="A141" s="22" t="s">
        <v>609</v>
      </c>
      <c r="B141" s="4" t="s">
        <v>21</v>
      </c>
      <c r="C141" s="4" t="s">
        <v>189</v>
      </c>
      <c r="D141" s="22" t="s">
        <v>610</v>
      </c>
      <c r="E141" s="19"/>
      <c r="F141" s="20"/>
      <c r="G141" s="20"/>
      <c r="H141" s="20"/>
      <c r="I141" s="20"/>
      <c r="J141" s="20"/>
      <c r="K141" s="20"/>
      <c r="L141" s="20"/>
      <c r="M141" s="20"/>
      <c r="N141" s="20"/>
      <c r="O141" s="19"/>
      <c r="P141" s="19"/>
      <c r="Q141" s="19"/>
      <c r="R141" s="19"/>
      <c r="S141" s="19"/>
      <c r="T141" s="21"/>
    </row>
    <row r="142" ht="43.5" customHeight="1">
      <c r="A142" s="18" t="s">
        <v>611</v>
      </c>
      <c r="B142" s="4" t="s">
        <v>162</v>
      </c>
      <c r="C142" s="4" t="s">
        <v>468</v>
      </c>
      <c r="D142" s="18" t="s">
        <v>612</v>
      </c>
      <c r="E142" s="19"/>
      <c r="F142" s="20"/>
      <c r="G142" s="20"/>
      <c r="H142" s="20"/>
      <c r="I142" s="20"/>
      <c r="J142" s="20"/>
      <c r="K142" s="20"/>
      <c r="L142" s="20"/>
      <c r="M142" s="20"/>
      <c r="N142" s="20"/>
      <c r="O142" s="19"/>
      <c r="P142" s="19"/>
      <c r="Q142" s="19"/>
      <c r="R142" s="19"/>
      <c r="S142" s="19"/>
      <c r="T142" s="21"/>
    </row>
    <row r="143" ht="43.5" customHeight="1">
      <c r="A143" s="22" t="s">
        <v>613</v>
      </c>
      <c r="B143" s="4" t="s">
        <v>162</v>
      </c>
      <c r="C143" s="4" t="s">
        <v>468</v>
      </c>
      <c r="D143" s="23"/>
      <c r="E143" s="19"/>
      <c r="F143" s="20"/>
      <c r="G143" s="20"/>
      <c r="H143" s="20"/>
      <c r="I143" s="20"/>
      <c r="J143" s="20"/>
      <c r="K143" s="20"/>
      <c r="L143" s="20"/>
      <c r="M143" s="20"/>
      <c r="N143" s="20"/>
      <c r="O143" s="19"/>
      <c r="P143" s="19"/>
      <c r="Q143" s="19"/>
      <c r="R143" s="19"/>
      <c r="S143" s="19"/>
      <c r="T143" s="21"/>
    </row>
    <row r="144" ht="43.5" customHeight="1">
      <c r="A144" s="18" t="s">
        <v>614</v>
      </c>
      <c r="B144" s="4" t="s">
        <v>162</v>
      </c>
      <c r="C144" s="4" t="s">
        <v>607</v>
      </c>
      <c r="D144" s="24"/>
      <c r="E144" s="19"/>
      <c r="F144" s="20"/>
      <c r="G144" s="20"/>
      <c r="H144" s="20"/>
      <c r="I144" s="20"/>
      <c r="J144" s="20"/>
      <c r="K144" s="20"/>
      <c r="L144" s="20"/>
      <c r="M144" s="20"/>
      <c r="N144" s="20"/>
      <c r="O144" s="19"/>
      <c r="P144" s="19"/>
      <c r="Q144" s="19"/>
      <c r="R144" s="19"/>
      <c r="S144" s="19"/>
      <c r="T144" s="21"/>
    </row>
    <row r="145" ht="43.5" customHeight="1">
      <c r="A145" s="22" t="s">
        <v>615</v>
      </c>
      <c r="B145" s="4" t="s">
        <v>218</v>
      </c>
      <c r="C145" s="4" t="s">
        <v>244</v>
      </c>
      <c r="D145" s="22" t="s">
        <v>616</v>
      </c>
      <c r="E145" s="19"/>
      <c r="F145" s="20"/>
      <c r="G145" s="20"/>
      <c r="H145" s="20"/>
      <c r="I145" s="20"/>
      <c r="J145" s="20"/>
      <c r="K145" s="20"/>
      <c r="L145" s="20"/>
      <c r="M145" s="20"/>
      <c r="N145" s="20"/>
      <c r="O145" s="19"/>
      <c r="P145" s="19"/>
      <c r="Q145" s="19"/>
      <c r="R145" s="19"/>
      <c r="S145" s="19"/>
      <c r="T145" s="21"/>
    </row>
    <row r="146" ht="43.5" customHeight="1">
      <c r="A146" s="18" t="s">
        <v>617</v>
      </c>
      <c r="B146" s="4" t="s">
        <v>218</v>
      </c>
      <c r="C146" s="4" t="s">
        <v>224</v>
      </c>
      <c r="D146" s="24"/>
      <c r="E146" s="19"/>
      <c r="F146" s="20"/>
      <c r="G146" s="20"/>
      <c r="H146" s="20"/>
      <c r="I146" s="20"/>
      <c r="J146" s="20"/>
      <c r="K146" s="20"/>
      <c r="L146" s="20"/>
      <c r="M146" s="20"/>
      <c r="N146" s="20"/>
      <c r="O146" s="19"/>
      <c r="P146" s="19"/>
      <c r="Q146" s="19"/>
      <c r="R146" s="19"/>
      <c r="S146" s="19"/>
      <c r="T146" s="21"/>
    </row>
    <row r="147" ht="43.5" customHeight="1">
      <c r="A147" s="22" t="s">
        <v>618</v>
      </c>
      <c r="B147" s="4" t="s">
        <v>37</v>
      </c>
      <c r="C147" s="4" t="s">
        <v>136</v>
      </c>
      <c r="D147" s="22" t="s">
        <v>619</v>
      </c>
      <c r="E147" s="19"/>
      <c r="F147" s="20"/>
      <c r="G147" s="20"/>
      <c r="H147" s="20"/>
      <c r="I147" s="20"/>
      <c r="J147" s="20"/>
      <c r="K147" s="20"/>
      <c r="L147" s="20"/>
      <c r="M147" s="20"/>
      <c r="N147" s="20"/>
      <c r="O147" s="19"/>
      <c r="P147" s="19"/>
      <c r="Q147" s="19"/>
      <c r="R147" s="19"/>
      <c r="S147" s="19"/>
      <c r="T147" s="21"/>
    </row>
    <row r="148" ht="43.5" customHeight="1">
      <c r="A148" s="18" t="s">
        <v>620</v>
      </c>
      <c r="B148" s="4" t="s">
        <v>37</v>
      </c>
      <c r="C148" s="4" t="s">
        <v>257</v>
      </c>
      <c r="D148" s="18" t="s">
        <v>621</v>
      </c>
      <c r="E148" s="19"/>
      <c r="F148" s="20"/>
      <c r="G148" s="20"/>
      <c r="H148" s="20"/>
      <c r="I148" s="20"/>
      <c r="J148" s="20"/>
      <c r="K148" s="20"/>
      <c r="L148" s="20"/>
      <c r="M148" s="20"/>
      <c r="N148" s="20"/>
      <c r="O148" s="19"/>
      <c r="P148" s="19"/>
      <c r="Q148" s="19"/>
      <c r="R148" s="19"/>
      <c r="S148" s="19"/>
      <c r="T148" s="21"/>
    </row>
    <row r="149" ht="43.5" customHeight="1">
      <c r="A149" s="22" t="s">
        <v>622</v>
      </c>
      <c r="B149" s="4" t="s">
        <v>44</v>
      </c>
      <c r="C149" s="4" t="s">
        <v>623</v>
      </c>
      <c r="D149" s="22" t="s">
        <v>624</v>
      </c>
      <c r="E149" s="19"/>
      <c r="F149" s="20"/>
      <c r="G149" s="20"/>
      <c r="H149" s="20"/>
      <c r="I149" s="20"/>
      <c r="J149" s="20"/>
      <c r="K149" s="20"/>
      <c r="L149" s="20"/>
      <c r="M149" s="20"/>
      <c r="N149" s="20"/>
      <c r="O149" s="19"/>
      <c r="P149" s="19"/>
      <c r="Q149" s="19"/>
      <c r="R149" s="19"/>
      <c r="S149" s="19"/>
      <c r="T149" s="21"/>
    </row>
    <row r="150" ht="43.5" customHeight="1">
      <c r="A150" s="18" t="s">
        <v>625</v>
      </c>
      <c r="B150" s="4" t="s">
        <v>101</v>
      </c>
      <c r="C150" s="4" t="s">
        <v>501</v>
      </c>
      <c r="D150" s="24"/>
      <c r="E150" s="19"/>
      <c r="F150" s="20"/>
      <c r="G150" s="20"/>
      <c r="H150" s="20"/>
      <c r="I150" s="20"/>
      <c r="J150" s="20"/>
      <c r="K150" s="20"/>
      <c r="L150" s="20"/>
      <c r="M150" s="20"/>
      <c r="N150" s="20"/>
      <c r="O150" s="19"/>
      <c r="P150" s="19"/>
      <c r="Q150" s="19"/>
      <c r="R150" s="19"/>
      <c r="S150" s="19"/>
      <c r="T150" s="21"/>
    </row>
    <row r="151" ht="43.5" customHeight="1">
      <c r="A151" s="22" t="s">
        <v>626</v>
      </c>
      <c r="B151" s="4" t="s">
        <v>21</v>
      </c>
      <c r="C151" s="4" t="s">
        <v>627</v>
      </c>
      <c r="D151" s="22" t="s">
        <v>628</v>
      </c>
      <c r="E151" s="19"/>
      <c r="F151" s="20"/>
      <c r="G151" s="20"/>
      <c r="H151" s="20"/>
      <c r="I151" s="20"/>
      <c r="J151" s="20"/>
      <c r="K151" s="20"/>
      <c r="L151" s="20"/>
      <c r="M151" s="20"/>
      <c r="N151" s="20"/>
      <c r="O151" s="19"/>
      <c r="P151" s="19"/>
      <c r="Q151" s="19"/>
      <c r="R151" s="19"/>
      <c r="S151" s="19"/>
      <c r="T151" s="21"/>
    </row>
    <row r="152" ht="43.5" customHeight="1">
      <c r="A152" s="18" t="s">
        <v>629</v>
      </c>
      <c r="B152" s="4" t="s">
        <v>162</v>
      </c>
      <c r="C152" s="4" t="s">
        <v>630</v>
      </c>
      <c r="D152" s="18" t="s">
        <v>612</v>
      </c>
      <c r="E152" s="19"/>
      <c r="F152" s="20"/>
      <c r="G152" s="20"/>
      <c r="H152" s="20"/>
      <c r="I152" s="20"/>
      <c r="J152" s="20"/>
      <c r="K152" s="20"/>
      <c r="L152" s="20"/>
      <c r="M152" s="20"/>
      <c r="N152" s="20"/>
      <c r="O152" s="19"/>
      <c r="P152" s="19"/>
      <c r="Q152" s="19"/>
      <c r="R152" s="19"/>
      <c r="S152" s="19"/>
      <c r="T152" s="21"/>
    </row>
    <row r="153" ht="43.5" customHeight="1">
      <c r="A153" s="22" t="s">
        <v>631</v>
      </c>
      <c r="B153" s="4" t="s">
        <v>162</v>
      </c>
      <c r="C153" s="4" t="s">
        <v>607</v>
      </c>
      <c r="D153" s="22" t="s">
        <v>612</v>
      </c>
      <c r="E153" s="19"/>
      <c r="F153" s="20"/>
      <c r="G153" s="20"/>
      <c r="H153" s="20"/>
      <c r="I153" s="20"/>
      <c r="J153" s="20"/>
      <c r="K153" s="20"/>
      <c r="L153" s="20"/>
      <c r="M153" s="20"/>
      <c r="N153" s="20"/>
      <c r="O153" s="19"/>
      <c r="P153" s="19"/>
      <c r="Q153" s="19"/>
      <c r="R153" s="19"/>
      <c r="S153" s="19"/>
      <c r="T153" s="21"/>
    </row>
    <row r="154" ht="43.5" customHeight="1">
      <c r="A154" s="18" t="s">
        <v>632</v>
      </c>
      <c r="B154" s="4" t="s">
        <v>37</v>
      </c>
      <c r="C154" s="4" t="s">
        <v>309</v>
      </c>
      <c r="D154" s="18" t="s">
        <v>621</v>
      </c>
      <c r="E154" s="19"/>
      <c r="F154" s="20"/>
      <c r="G154" s="20"/>
      <c r="H154" s="20"/>
      <c r="I154" s="20"/>
      <c r="J154" s="20"/>
      <c r="K154" s="20"/>
      <c r="L154" s="20"/>
      <c r="M154" s="20"/>
      <c r="N154" s="20"/>
      <c r="O154" s="19"/>
      <c r="P154" s="19"/>
      <c r="Q154" s="19"/>
      <c r="R154" s="19"/>
      <c r="S154" s="19"/>
      <c r="T154" s="21"/>
    </row>
    <row r="155" ht="43.5" customHeight="1">
      <c r="A155" s="22" t="s">
        <v>633</v>
      </c>
      <c r="B155" s="4" t="s">
        <v>37</v>
      </c>
      <c r="C155" s="4" t="s">
        <v>108</v>
      </c>
      <c r="D155" s="22" t="s">
        <v>619</v>
      </c>
      <c r="E155" s="19"/>
      <c r="F155" s="20"/>
      <c r="G155" s="20"/>
      <c r="H155" s="20"/>
      <c r="I155" s="20"/>
      <c r="J155" s="20"/>
      <c r="K155" s="20"/>
      <c r="L155" s="20"/>
      <c r="M155" s="20"/>
      <c r="N155" s="20"/>
      <c r="O155" s="19"/>
      <c r="P155" s="19"/>
      <c r="Q155" s="19"/>
      <c r="R155" s="19"/>
      <c r="S155" s="19"/>
      <c r="T155" s="21"/>
    </row>
    <row r="156" ht="43.5" customHeight="1">
      <c r="A156" s="18" t="s">
        <v>634</v>
      </c>
      <c r="B156" s="4" t="s">
        <v>162</v>
      </c>
      <c r="C156" s="4" t="s">
        <v>607</v>
      </c>
      <c r="D156" s="24"/>
      <c r="E156" s="19"/>
      <c r="F156" s="20"/>
      <c r="G156" s="20"/>
      <c r="H156" s="20"/>
      <c r="I156" s="20"/>
      <c r="J156" s="20"/>
      <c r="K156" s="20"/>
      <c r="L156" s="20"/>
      <c r="M156" s="20"/>
      <c r="N156" s="20"/>
      <c r="O156" s="19"/>
      <c r="P156" s="19"/>
      <c r="Q156" s="19"/>
      <c r="R156" s="19"/>
      <c r="S156" s="19"/>
      <c r="T156" s="21"/>
    </row>
    <row r="157" ht="43.5" customHeight="1">
      <c r="A157" s="22" t="s">
        <v>635</v>
      </c>
      <c r="B157" s="4" t="s">
        <v>44</v>
      </c>
      <c r="C157" s="4" t="s">
        <v>45</v>
      </c>
      <c r="D157" s="23"/>
      <c r="E157" s="19"/>
      <c r="F157" s="20"/>
      <c r="G157" s="20"/>
      <c r="H157" s="20"/>
      <c r="I157" s="20"/>
      <c r="J157" s="20"/>
      <c r="K157" s="20"/>
      <c r="L157" s="20"/>
      <c r="M157" s="20"/>
      <c r="N157" s="20"/>
      <c r="O157" s="19"/>
      <c r="P157" s="19"/>
      <c r="Q157" s="19"/>
      <c r="R157" s="19"/>
      <c r="S157" s="19"/>
      <c r="T157" s="21"/>
    </row>
    <row r="158" ht="43.5" customHeight="1">
      <c r="A158" s="18" t="s">
        <v>636</v>
      </c>
      <c r="B158" s="4" t="s">
        <v>37</v>
      </c>
      <c r="C158" s="4" t="s">
        <v>257</v>
      </c>
      <c r="D158" s="18" t="s">
        <v>619</v>
      </c>
      <c r="E158" s="19"/>
      <c r="F158" s="20"/>
      <c r="G158" s="20"/>
      <c r="H158" s="20"/>
      <c r="I158" s="20"/>
      <c r="J158" s="20"/>
      <c r="K158" s="20"/>
      <c r="L158" s="20"/>
      <c r="M158" s="20"/>
      <c r="N158" s="20"/>
      <c r="O158" s="19"/>
      <c r="P158" s="19"/>
      <c r="Q158" s="19"/>
      <c r="R158" s="19"/>
      <c r="S158" s="19"/>
      <c r="T158" s="21"/>
    </row>
    <row r="159" ht="43.5" customHeight="1">
      <c r="A159" s="22" t="s">
        <v>637</v>
      </c>
      <c r="B159" s="4" t="s">
        <v>37</v>
      </c>
      <c r="C159" s="4" t="s">
        <v>108</v>
      </c>
      <c r="D159" s="22" t="s">
        <v>619</v>
      </c>
      <c r="E159" s="19"/>
      <c r="F159" s="20"/>
      <c r="G159" s="20"/>
      <c r="H159" s="20"/>
      <c r="I159" s="20"/>
      <c r="J159" s="20"/>
      <c r="K159" s="20"/>
      <c r="L159" s="20"/>
      <c r="M159" s="20"/>
      <c r="N159" s="20"/>
      <c r="O159" s="19"/>
      <c r="P159" s="19"/>
      <c r="Q159" s="19"/>
      <c r="R159" s="19"/>
      <c r="S159" s="19"/>
      <c r="T159" s="21"/>
    </row>
    <row r="160" ht="43.5" customHeight="1">
      <c r="A160" s="18" t="s">
        <v>638</v>
      </c>
      <c r="B160" s="4" t="s">
        <v>37</v>
      </c>
      <c r="C160" s="4" t="s">
        <v>257</v>
      </c>
      <c r="D160" s="24"/>
      <c r="E160" s="19"/>
      <c r="F160" s="20"/>
      <c r="G160" s="20"/>
      <c r="H160" s="20"/>
      <c r="I160" s="20"/>
      <c r="J160" s="20"/>
      <c r="K160" s="20"/>
      <c r="L160" s="20"/>
      <c r="M160" s="20"/>
      <c r="N160" s="20"/>
      <c r="O160" s="19"/>
      <c r="P160" s="19"/>
      <c r="Q160" s="19"/>
      <c r="R160" s="19"/>
      <c r="S160" s="19"/>
      <c r="T160" s="21"/>
    </row>
    <row r="161" ht="43.5" customHeight="1">
      <c r="A161" s="22" t="s">
        <v>639</v>
      </c>
      <c r="B161" s="4" t="s">
        <v>101</v>
      </c>
      <c r="C161" s="4" t="s">
        <v>45</v>
      </c>
      <c r="D161" s="22" t="s">
        <v>640</v>
      </c>
      <c r="E161" s="19"/>
      <c r="F161" s="20"/>
      <c r="G161" s="20"/>
      <c r="H161" s="20"/>
      <c r="I161" s="20"/>
      <c r="J161" s="20"/>
      <c r="K161" s="20"/>
      <c r="L161" s="20"/>
      <c r="M161" s="20"/>
      <c r="N161" s="20"/>
      <c r="O161" s="19"/>
      <c r="P161" s="19"/>
      <c r="Q161" s="19"/>
      <c r="R161" s="19"/>
      <c r="S161" s="19"/>
      <c r="T161" s="21"/>
    </row>
    <row r="162" ht="43.5" customHeight="1">
      <c r="A162" s="18" t="s">
        <v>641</v>
      </c>
      <c r="B162" s="4" t="s">
        <v>218</v>
      </c>
      <c r="C162" s="4" t="s">
        <v>267</v>
      </c>
      <c r="D162" s="18" t="s">
        <v>612</v>
      </c>
      <c r="E162" s="19"/>
      <c r="F162" s="20"/>
      <c r="G162" s="20"/>
      <c r="H162" s="20"/>
      <c r="I162" s="20"/>
      <c r="J162" s="20"/>
      <c r="K162" s="20"/>
      <c r="L162" s="20"/>
      <c r="M162" s="20"/>
      <c r="N162" s="20"/>
      <c r="O162" s="19"/>
      <c r="P162" s="19"/>
      <c r="Q162" s="19"/>
      <c r="R162" s="19"/>
      <c r="S162" s="19"/>
      <c r="T162" s="21"/>
    </row>
    <row r="163" ht="43.5" customHeight="1">
      <c r="A163" s="22" t="s">
        <v>642</v>
      </c>
      <c r="B163" s="4" t="s">
        <v>218</v>
      </c>
      <c r="C163" s="4" t="s">
        <v>96</v>
      </c>
      <c r="D163" s="22" t="s">
        <v>619</v>
      </c>
      <c r="E163" s="19"/>
      <c r="F163" s="20"/>
      <c r="G163" s="20"/>
      <c r="H163" s="20"/>
      <c r="I163" s="20"/>
      <c r="J163" s="20"/>
      <c r="K163" s="20"/>
      <c r="L163" s="20"/>
      <c r="M163" s="20"/>
      <c r="N163" s="20"/>
      <c r="O163" s="19"/>
      <c r="P163" s="19"/>
      <c r="Q163" s="19"/>
      <c r="R163" s="19"/>
      <c r="S163" s="19"/>
      <c r="T163" s="21"/>
    </row>
    <row r="164" ht="43.5" customHeight="1">
      <c r="A164" s="18" t="s">
        <v>643</v>
      </c>
      <c r="B164" s="4" t="s">
        <v>162</v>
      </c>
      <c r="C164" s="4" t="s">
        <v>607</v>
      </c>
      <c r="D164" s="18" t="s">
        <v>619</v>
      </c>
      <c r="E164" s="19"/>
      <c r="F164" s="20"/>
      <c r="G164" s="20"/>
      <c r="H164" s="20"/>
      <c r="I164" s="20"/>
      <c r="J164" s="20"/>
      <c r="K164" s="20"/>
      <c r="L164" s="20"/>
      <c r="M164" s="20"/>
      <c r="N164" s="20"/>
      <c r="O164" s="19"/>
      <c r="P164" s="19"/>
      <c r="Q164" s="19"/>
      <c r="R164" s="19"/>
      <c r="S164" s="19"/>
      <c r="T164" s="21"/>
    </row>
    <row r="165" ht="43.5" customHeight="1">
      <c r="A165" s="22" t="s">
        <v>644</v>
      </c>
      <c r="B165" s="4" t="s">
        <v>37</v>
      </c>
      <c r="C165" s="4" t="s">
        <v>108</v>
      </c>
      <c r="D165" s="22" t="s">
        <v>619</v>
      </c>
      <c r="E165" s="19"/>
      <c r="F165" s="20"/>
      <c r="G165" s="20"/>
      <c r="H165" s="20"/>
      <c r="I165" s="20"/>
      <c r="J165" s="20"/>
      <c r="K165" s="20"/>
      <c r="L165" s="20"/>
      <c r="M165" s="20"/>
      <c r="N165" s="20"/>
      <c r="O165" s="19"/>
      <c r="P165" s="19"/>
      <c r="Q165" s="19"/>
      <c r="R165" s="19"/>
      <c r="S165" s="19"/>
      <c r="T165" s="21"/>
    </row>
    <row r="166" ht="43.5" customHeight="1">
      <c r="A166" s="18" t="s">
        <v>645</v>
      </c>
      <c r="B166" s="4" t="s">
        <v>37</v>
      </c>
      <c r="C166" s="4" t="s">
        <v>257</v>
      </c>
      <c r="D166" s="18" t="s">
        <v>619</v>
      </c>
      <c r="E166" s="19"/>
      <c r="F166" s="20"/>
      <c r="G166" s="20"/>
      <c r="H166" s="20"/>
      <c r="I166" s="20"/>
      <c r="J166" s="20"/>
      <c r="K166" s="20"/>
      <c r="L166" s="20"/>
      <c r="M166" s="20"/>
      <c r="N166" s="20"/>
      <c r="O166" s="19"/>
      <c r="P166" s="19"/>
      <c r="Q166" s="19"/>
      <c r="R166" s="19"/>
      <c r="S166" s="19"/>
      <c r="T166" s="21"/>
    </row>
    <row r="167" ht="43.5" customHeight="1">
      <c r="A167" s="22" t="s">
        <v>646</v>
      </c>
      <c r="B167" s="4" t="s">
        <v>37</v>
      </c>
      <c r="C167" s="4" t="s">
        <v>257</v>
      </c>
      <c r="D167" s="23"/>
      <c r="E167" s="19"/>
      <c r="F167" s="20"/>
      <c r="G167" s="20"/>
      <c r="H167" s="20"/>
      <c r="I167" s="20"/>
      <c r="J167" s="20"/>
      <c r="K167" s="20"/>
      <c r="L167" s="20"/>
      <c r="M167" s="20"/>
      <c r="N167" s="20"/>
      <c r="O167" s="19"/>
      <c r="P167" s="19"/>
      <c r="Q167" s="19"/>
      <c r="R167" s="19"/>
      <c r="S167" s="19"/>
      <c r="T167" s="21"/>
    </row>
    <row r="168" ht="43.5" customHeight="1">
      <c r="A168" s="18" t="s">
        <v>647</v>
      </c>
      <c r="B168" s="4" t="s">
        <v>37</v>
      </c>
      <c r="C168" s="4" t="s">
        <v>257</v>
      </c>
      <c r="E168" s="19"/>
      <c r="F168" s="20"/>
      <c r="G168" s="20"/>
      <c r="H168" s="20"/>
      <c r="I168" s="20"/>
      <c r="J168" s="20"/>
      <c r="K168" s="20"/>
      <c r="L168" s="20"/>
      <c r="M168" s="20"/>
      <c r="N168" s="20"/>
      <c r="O168" s="19"/>
      <c r="P168" s="19"/>
      <c r="Q168" s="19"/>
      <c r="R168" s="19"/>
      <c r="S168" s="19"/>
      <c r="T168" s="21"/>
    </row>
    <row r="169" ht="43.5" customHeight="1">
      <c r="A169" s="22" t="s">
        <v>648</v>
      </c>
      <c r="B169" s="4" t="s">
        <v>37</v>
      </c>
      <c r="C169" s="4" t="s">
        <v>108</v>
      </c>
      <c r="D169" s="23"/>
      <c r="E169" s="19"/>
      <c r="F169" s="20"/>
      <c r="G169" s="20"/>
      <c r="H169" s="20"/>
      <c r="I169" s="20"/>
      <c r="J169" s="20"/>
      <c r="K169" s="20"/>
      <c r="L169" s="20"/>
      <c r="M169" s="20"/>
      <c r="N169" s="20"/>
      <c r="O169" s="19"/>
      <c r="P169" s="19"/>
      <c r="Q169" s="19"/>
      <c r="R169" s="19"/>
      <c r="S169" s="19"/>
      <c r="T169" s="21"/>
    </row>
    <row r="170" ht="43.5" customHeight="1">
      <c r="A170" s="18" t="s">
        <v>649</v>
      </c>
      <c r="B170" s="4" t="s">
        <v>162</v>
      </c>
      <c r="C170" s="4" t="s">
        <v>468</v>
      </c>
      <c r="D170" s="18" t="s">
        <v>650</v>
      </c>
      <c r="E170" s="19"/>
      <c r="F170" s="20"/>
      <c r="G170" s="20"/>
      <c r="H170" s="20"/>
      <c r="I170" s="20"/>
      <c r="J170" s="20"/>
      <c r="K170" s="20"/>
      <c r="L170" s="20"/>
      <c r="M170" s="20"/>
      <c r="N170" s="20"/>
      <c r="O170" s="19"/>
      <c r="P170" s="19"/>
      <c r="Q170" s="19"/>
      <c r="R170" s="19"/>
      <c r="S170" s="19"/>
      <c r="T170" s="21"/>
    </row>
    <row r="171" ht="43.5" customHeight="1">
      <c r="A171" s="22" t="s">
        <v>651</v>
      </c>
      <c r="B171" s="4" t="s">
        <v>37</v>
      </c>
      <c r="C171" s="4" t="s">
        <v>108</v>
      </c>
      <c r="D171" s="23"/>
      <c r="E171" s="19"/>
      <c r="F171" s="20"/>
      <c r="G171" s="20"/>
      <c r="H171" s="20"/>
      <c r="I171" s="20"/>
      <c r="J171" s="20"/>
      <c r="K171" s="20"/>
      <c r="L171" s="20"/>
      <c r="M171" s="20"/>
      <c r="N171" s="20"/>
      <c r="O171" s="19"/>
      <c r="P171" s="19"/>
      <c r="Q171" s="19"/>
      <c r="R171" s="19"/>
      <c r="S171" s="19"/>
      <c r="T171" s="21"/>
    </row>
    <row r="172" ht="43.5" customHeight="1">
      <c r="A172" s="18" t="s">
        <v>652</v>
      </c>
      <c r="B172" s="4" t="s">
        <v>44</v>
      </c>
      <c r="C172" s="4" t="s">
        <v>653</v>
      </c>
      <c r="D172" s="24"/>
      <c r="E172" s="19"/>
      <c r="F172" s="20"/>
      <c r="G172" s="20"/>
      <c r="H172" s="20"/>
      <c r="I172" s="20"/>
      <c r="J172" s="20"/>
      <c r="K172" s="20"/>
      <c r="L172" s="20"/>
      <c r="M172" s="20"/>
      <c r="N172" s="20"/>
      <c r="O172" s="19"/>
      <c r="P172" s="19"/>
      <c r="Q172" s="19"/>
      <c r="R172" s="19"/>
      <c r="S172" s="19"/>
      <c r="T172" s="21"/>
    </row>
    <row r="173" ht="43.5" customHeight="1">
      <c r="A173" s="22" t="s">
        <v>654</v>
      </c>
      <c r="B173" s="4" t="s">
        <v>162</v>
      </c>
      <c r="C173" s="4" t="s">
        <v>468</v>
      </c>
      <c r="D173" s="23"/>
      <c r="E173" s="19"/>
      <c r="F173" s="20"/>
      <c r="G173" s="20"/>
      <c r="H173" s="20"/>
      <c r="I173" s="20"/>
      <c r="J173" s="20"/>
      <c r="K173" s="20"/>
      <c r="L173" s="20"/>
      <c r="M173" s="20"/>
      <c r="N173" s="20"/>
      <c r="O173" s="19"/>
      <c r="P173" s="19"/>
      <c r="Q173" s="19"/>
      <c r="R173" s="19"/>
      <c r="S173" s="19"/>
      <c r="T173" s="21"/>
    </row>
    <row r="174" ht="43.5" customHeight="1">
      <c r="A174" s="18" t="s">
        <v>655</v>
      </c>
      <c r="B174" s="4" t="s">
        <v>21</v>
      </c>
      <c r="C174" s="4" t="s">
        <v>267</v>
      </c>
      <c r="D174" s="24"/>
      <c r="E174" s="19"/>
      <c r="F174" s="20"/>
      <c r="G174" s="20"/>
      <c r="H174" s="20"/>
      <c r="I174" s="20"/>
      <c r="J174" s="20"/>
      <c r="K174" s="20"/>
      <c r="L174" s="20"/>
      <c r="M174" s="20"/>
      <c r="N174" s="20"/>
      <c r="O174" s="19"/>
      <c r="P174" s="19"/>
      <c r="Q174" s="19"/>
      <c r="R174" s="19"/>
      <c r="S174" s="19"/>
      <c r="T174" s="21"/>
    </row>
    <row r="175" ht="43.5" customHeight="1">
      <c r="A175" s="22" t="s">
        <v>656</v>
      </c>
      <c r="B175" s="4" t="s">
        <v>37</v>
      </c>
      <c r="C175" s="4" t="s">
        <v>257</v>
      </c>
      <c r="D175" s="23"/>
      <c r="E175" s="19"/>
      <c r="F175" s="20"/>
      <c r="G175" s="20"/>
      <c r="H175" s="20"/>
      <c r="I175" s="20"/>
      <c r="J175" s="20"/>
      <c r="K175" s="20"/>
      <c r="L175" s="20"/>
      <c r="M175" s="20"/>
      <c r="N175" s="20"/>
      <c r="O175" s="19"/>
      <c r="P175" s="19"/>
      <c r="Q175" s="19"/>
      <c r="R175" s="19"/>
      <c r="S175" s="19"/>
      <c r="T175" s="21"/>
    </row>
    <row r="176" ht="43.5" customHeight="1">
      <c r="A176" s="18" t="s">
        <v>657</v>
      </c>
      <c r="B176" s="4" t="s">
        <v>37</v>
      </c>
      <c r="C176" s="4" t="s">
        <v>257</v>
      </c>
      <c r="D176" s="24"/>
      <c r="E176" s="19"/>
      <c r="F176" s="20"/>
      <c r="G176" s="20"/>
      <c r="H176" s="20"/>
      <c r="I176" s="20"/>
      <c r="J176" s="20"/>
      <c r="K176" s="20"/>
      <c r="L176" s="20"/>
      <c r="M176" s="20"/>
      <c r="N176" s="20"/>
      <c r="O176" s="19"/>
      <c r="P176" s="19"/>
      <c r="Q176" s="19"/>
      <c r="R176" s="19"/>
      <c r="S176" s="19"/>
      <c r="T176" s="21"/>
    </row>
    <row r="177" ht="43.5" customHeight="1">
      <c r="A177" s="22" t="s">
        <v>658</v>
      </c>
      <c r="B177" s="4" t="s">
        <v>37</v>
      </c>
      <c r="C177" s="4" t="s">
        <v>257</v>
      </c>
      <c r="D177" s="23"/>
      <c r="E177" s="19"/>
      <c r="F177" s="20"/>
      <c r="G177" s="20"/>
      <c r="H177" s="20"/>
      <c r="I177" s="20"/>
      <c r="J177" s="20"/>
      <c r="K177" s="20"/>
      <c r="L177" s="20"/>
      <c r="M177" s="20"/>
      <c r="N177" s="20"/>
      <c r="O177" s="19"/>
      <c r="P177" s="19"/>
      <c r="Q177" s="19"/>
      <c r="R177" s="19"/>
      <c r="S177" s="19"/>
      <c r="T177" s="21"/>
    </row>
    <row r="178" ht="43.5" customHeight="1">
      <c r="A178" s="18" t="s">
        <v>659</v>
      </c>
      <c r="B178" s="4" t="s">
        <v>37</v>
      </c>
      <c r="C178" s="4" t="s">
        <v>257</v>
      </c>
      <c r="D178" s="24"/>
      <c r="E178" s="19"/>
      <c r="F178" s="20"/>
      <c r="G178" s="20"/>
      <c r="H178" s="20"/>
      <c r="I178" s="20"/>
      <c r="J178" s="20"/>
      <c r="K178" s="20"/>
      <c r="L178" s="20"/>
      <c r="M178" s="20"/>
      <c r="N178" s="20"/>
      <c r="O178" s="19"/>
      <c r="P178" s="19"/>
      <c r="Q178" s="19"/>
      <c r="R178" s="19"/>
      <c r="S178" s="19"/>
      <c r="T178" s="21"/>
    </row>
    <row r="179" ht="43.5" customHeight="1">
      <c r="A179" s="22" t="s">
        <v>660</v>
      </c>
      <c r="B179" s="4" t="s">
        <v>37</v>
      </c>
      <c r="C179" s="4" t="s">
        <v>257</v>
      </c>
      <c r="D179" s="23"/>
      <c r="E179" s="19"/>
      <c r="F179" s="20"/>
      <c r="G179" s="20"/>
      <c r="H179" s="20"/>
      <c r="I179" s="20"/>
      <c r="J179" s="20"/>
      <c r="K179" s="20"/>
      <c r="L179" s="20"/>
      <c r="M179" s="20"/>
      <c r="N179" s="20"/>
      <c r="O179" s="19"/>
      <c r="P179" s="19"/>
      <c r="Q179" s="19"/>
      <c r="R179" s="19"/>
      <c r="S179" s="19"/>
      <c r="T179" s="21"/>
    </row>
    <row r="180" ht="43.5" customHeight="1">
      <c r="A180" s="18" t="s">
        <v>661</v>
      </c>
      <c r="B180" s="4" t="s">
        <v>21</v>
      </c>
      <c r="C180" s="4" t="s">
        <v>267</v>
      </c>
      <c r="D180" s="18" t="s">
        <v>662</v>
      </c>
      <c r="E180" s="19"/>
      <c r="F180" s="20"/>
      <c r="G180" s="20"/>
      <c r="H180" s="20"/>
      <c r="I180" s="20"/>
      <c r="J180" s="20"/>
      <c r="K180" s="20"/>
      <c r="L180" s="20"/>
      <c r="M180" s="20"/>
      <c r="N180" s="20"/>
      <c r="O180" s="19"/>
      <c r="P180" s="19"/>
      <c r="Q180" s="19"/>
      <c r="R180" s="19"/>
      <c r="S180" s="19"/>
      <c r="T180" s="21"/>
    </row>
    <row r="181" ht="43.5" customHeight="1">
      <c r="A181" s="22" t="s">
        <v>663</v>
      </c>
      <c r="B181" s="4" t="s">
        <v>37</v>
      </c>
      <c r="C181" s="4" t="s">
        <v>587</v>
      </c>
      <c r="D181" s="22" t="s">
        <v>619</v>
      </c>
      <c r="E181" s="19"/>
      <c r="F181" s="20"/>
      <c r="G181" s="20"/>
      <c r="H181" s="20"/>
      <c r="I181" s="20"/>
      <c r="J181" s="20"/>
      <c r="K181" s="20"/>
      <c r="L181" s="20"/>
      <c r="M181" s="20"/>
      <c r="N181" s="20"/>
      <c r="O181" s="19"/>
      <c r="P181" s="19"/>
      <c r="Q181" s="19"/>
      <c r="R181" s="19"/>
      <c r="S181" s="19"/>
      <c r="T181" s="21"/>
    </row>
    <row r="182" ht="43.5" customHeight="1">
      <c r="A182" s="18" t="s">
        <v>664</v>
      </c>
      <c r="B182" s="4" t="s">
        <v>37</v>
      </c>
      <c r="C182" s="4" t="s">
        <v>587</v>
      </c>
      <c r="D182" s="18" t="s">
        <v>619</v>
      </c>
      <c r="E182" s="19"/>
      <c r="F182" s="20"/>
      <c r="G182" s="20"/>
      <c r="H182" s="20"/>
      <c r="I182" s="20"/>
      <c r="J182" s="20"/>
      <c r="K182" s="20"/>
      <c r="L182" s="20"/>
      <c r="M182" s="20"/>
      <c r="N182" s="20"/>
      <c r="O182" s="19"/>
      <c r="P182" s="19"/>
      <c r="Q182" s="19"/>
      <c r="R182" s="19"/>
      <c r="S182" s="19"/>
      <c r="T182" s="21"/>
    </row>
    <row r="183" ht="43.5" customHeight="1">
      <c r="A183" s="22" t="s">
        <v>665</v>
      </c>
      <c r="B183" s="4" t="s">
        <v>37</v>
      </c>
      <c r="C183" s="4" t="s">
        <v>587</v>
      </c>
      <c r="D183" s="22" t="s">
        <v>619</v>
      </c>
      <c r="E183" s="19"/>
      <c r="F183" s="20"/>
      <c r="G183" s="20"/>
      <c r="H183" s="20"/>
      <c r="I183" s="20"/>
      <c r="J183" s="20"/>
      <c r="K183" s="20"/>
      <c r="L183" s="20"/>
      <c r="M183" s="20"/>
      <c r="N183" s="20"/>
      <c r="O183" s="19"/>
      <c r="P183" s="19"/>
      <c r="Q183" s="19"/>
      <c r="R183" s="19"/>
      <c r="S183" s="19"/>
      <c r="T183" s="21"/>
    </row>
    <row r="184" ht="43.5" customHeight="1">
      <c r="A184" s="18" t="s">
        <v>666</v>
      </c>
      <c r="B184" s="4" t="s">
        <v>37</v>
      </c>
      <c r="C184" s="4" t="s">
        <v>38</v>
      </c>
      <c r="D184" s="24"/>
      <c r="E184" s="19"/>
      <c r="F184" s="20"/>
      <c r="G184" s="20"/>
      <c r="H184" s="20"/>
      <c r="I184" s="20"/>
      <c r="J184" s="20"/>
      <c r="K184" s="20"/>
      <c r="L184" s="20"/>
      <c r="M184" s="20"/>
      <c r="N184" s="20"/>
      <c r="O184" s="19"/>
      <c r="P184" s="19"/>
      <c r="Q184" s="19"/>
      <c r="R184" s="19"/>
      <c r="S184" s="19"/>
      <c r="T184" s="21"/>
    </row>
    <row r="185" ht="43.5" customHeight="1">
      <c r="A185" s="22" t="s">
        <v>667</v>
      </c>
      <c r="B185" s="4" t="s">
        <v>162</v>
      </c>
      <c r="C185" s="4" t="s">
        <v>358</v>
      </c>
      <c r="D185" s="23"/>
      <c r="E185" s="19"/>
      <c r="F185" s="20"/>
      <c r="G185" s="20"/>
      <c r="H185" s="20"/>
      <c r="I185" s="20"/>
      <c r="J185" s="20"/>
      <c r="K185" s="20"/>
      <c r="L185" s="20"/>
      <c r="M185" s="20"/>
      <c r="N185" s="20"/>
      <c r="O185" s="19"/>
      <c r="P185" s="19"/>
      <c r="Q185" s="19"/>
      <c r="R185" s="19"/>
      <c r="S185" s="19"/>
      <c r="T185" s="21"/>
    </row>
    <row r="186" ht="43.5" customHeight="1">
      <c r="A186" s="18" t="s">
        <v>668</v>
      </c>
      <c r="B186" s="4" t="s">
        <v>37</v>
      </c>
      <c r="C186" s="4" t="s">
        <v>257</v>
      </c>
      <c r="D186" s="24"/>
      <c r="E186" s="19"/>
      <c r="F186" s="20"/>
      <c r="G186" s="20"/>
      <c r="H186" s="20"/>
      <c r="I186" s="20"/>
      <c r="J186" s="20"/>
      <c r="K186" s="20"/>
      <c r="L186" s="20"/>
      <c r="M186" s="20"/>
      <c r="N186" s="20"/>
      <c r="O186" s="19"/>
      <c r="P186" s="19"/>
      <c r="Q186" s="19"/>
      <c r="R186" s="19"/>
      <c r="S186" s="19"/>
      <c r="T186" s="21"/>
    </row>
    <row r="187" ht="43.5" customHeight="1">
      <c r="A187" s="22" t="s">
        <v>669</v>
      </c>
      <c r="B187" s="4" t="s">
        <v>37</v>
      </c>
      <c r="C187" s="4" t="s">
        <v>257</v>
      </c>
      <c r="D187" s="23"/>
      <c r="E187" s="19"/>
      <c r="F187" s="20"/>
      <c r="G187" s="20"/>
      <c r="H187" s="20"/>
      <c r="I187" s="20"/>
      <c r="J187" s="20"/>
      <c r="K187" s="20"/>
      <c r="L187" s="20"/>
      <c r="M187" s="20"/>
      <c r="N187" s="20"/>
      <c r="O187" s="19"/>
      <c r="P187" s="19"/>
      <c r="Q187" s="19"/>
      <c r="R187" s="19"/>
      <c r="S187" s="19"/>
      <c r="T187" s="21"/>
    </row>
    <row r="188" ht="43.5" customHeight="1">
      <c r="A188" s="18" t="s">
        <v>670</v>
      </c>
      <c r="B188" s="4" t="s">
        <v>37</v>
      </c>
      <c r="C188" s="4" t="s">
        <v>587</v>
      </c>
      <c r="D188" s="24"/>
      <c r="E188" s="19"/>
      <c r="F188" s="20"/>
      <c r="G188" s="20"/>
      <c r="H188" s="20"/>
      <c r="I188" s="20"/>
      <c r="J188" s="20"/>
      <c r="K188" s="20"/>
      <c r="L188" s="20"/>
      <c r="M188" s="20"/>
      <c r="N188" s="20"/>
      <c r="O188" s="19"/>
      <c r="P188" s="19"/>
      <c r="Q188" s="19"/>
      <c r="R188" s="19"/>
      <c r="S188" s="19"/>
      <c r="T188" s="21"/>
    </row>
    <row r="189" ht="43.5" customHeight="1">
      <c r="A189" s="22" t="s">
        <v>671</v>
      </c>
      <c r="B189" s="4" t="s">
        <v>162</v>
      </c>
      <c r="C189" s="4" t="s">
        <v>163</v>
      </c>
      <c r="D189" s="23"/>
      <c r="E189" s="19"/>
      <c r="F189" s="20"/>
      <c r="G189" s="20"/>
      <c r="H189" s="20"/>
      <c r="I189" s="20"/>
      <c r="J189" s="20"/>
      <c r="K189" s="20"/>
      <c r="L189" s="20"/>
      <c r="M189" s="20"/>
      <c r="N189" s="20"/>
      <c r="O189" s="19"/>
      <c r="P189" s="19"/>
      <c r="Q189" s="19"/>
      <c r="R189" s="19"/>
      <c r="S189" s="19"/>
      <c r="T189" s="21"/>
    </row>
    <row r="190" ht="43.5" customHeight="1">
      <c r="A190" s="18" t="s">
        <v>672</v>
      </c>
      <c r="B190" s="4" t="s">
        <v>37</v>
      </c>
      <c r="C190" s="4" t="s">
        <v>178</v>
      </c>
      <c r="D190" s="24"/>
      <c r="E190" s="19"/>
      <c r="F190" s="20"/>
      <c r="G190" s="20"/>
      <c r="H190" s="20"/>
      <c r="I190" s="20"/>
      <c r="J190" s="20"/>
      <c r="K190" s="20"/>
      <c r="L190" s="20"/>
      <c r="M190" s="20"/>
      <c r="N190" s="20"/>
      <c r="O190" s="19"/>
      <c r="P190" s="19"/>
      <c r="Q190" s="19"/>
      <c r="R190" s="19"/>
      <c r="S190" s="19"/>
      <c r="T190" s="21"/>
    </row>
    <row r="191" ht="43.5" customHeight="1">
      <c r="A191" s="22" t="s">
        <v>673</v>
      </c>
      <c r="B191" s="4" t="s">
        <v>37</v>
      </c>
      <c r="C191" s="4" t="s">
        <v>309</v>
      </c>
      <c r="D191" s="23"/>
      <c r="E191" s="19"/>
      <c r="F191" s="20"/>
      <c r="G191" s="20"/>
      <c r="H191" s="20"/>
      <c r="I191" s="20"/>
      <c r="J191" s="20"/>
      <c r="K191" s="20"/>
      <c r="L191" s="20"/>
      <c r="M191" s="20"/>
      <c r="N191" s="20"/>
      <c r="O191" s="19"/>
      <c r="P191" s="19"/>
      <c r="Q191" s="19"/>
      <c r="R191" s="19"/>
      <c r="S191" s="19"/>
      <c r="T191" s="21"/>
    </row>
    <row r="192" ht="43.5" customHeight="1">
      <c r="A192" s="18" t="s">
        <v>674</v>
      </c>
      <c r="B192" s="4" t="s">
        <v>21</v>
      </c>
      <c r="C192" s="4" t="s">
        <v>189</v>
      </c>
      <c r="D192" s="18" t="s">
        <v>675</v>
      </c>
      <c r="E192" s="19"/>
      <c r="F192" s="20"/>
      <c r="G192" s="20"/>
      <c r="H192" s="20"/>
      <c r="I192" s="20"/>
      <c r="J192" s="20"/>
      <c r="K192" s="20"/>
      <c r="L192" s="20"/>
      <c r="M192" s="20"/>
      <c r="N192" s="20"/>
      <c r="O192" s="19"/>
      <c r="P192" s="19"/>
      <c r="Q192" s="19"/>
      <c r="R192" s="19"/>
      <c r="S192" s="19"/>
      <c r="T192" s="21"/>
    </row>
    <row r="193" ht="43.5" customHeight="1">
      <c r="A193" s="22" t="s">
        <v>676</v>
      </c>
      <c r="B193" s="4" t="s">
        <v>162</v>
      </c>
      <c r="C193" s="4" t="s">
        <v>468</v>
      </c>
      <c r="D193" s="23"/>
      <c r="E193" s="19"/>
      <c r="F193" s="20"/>
      <c r="G193" s="20"/>
      <c r="H193" s="20"/>
      <c r="I193" s="20"/>
      <c r="J193" s="20"/>
      <c r="K193" s="20"/>
      <c r="L193" s="20"/>
      <c r="M193" s="20"/>
      <c r="N193" s="20"/>
      <c r="O193" s="19"/>
      <c r="P193" s="19"/>
      <c r="Q193" s="19"/>
      <c r="R193" s="19"/>
      <c r="S193" s="19"/>
      <c r="T193" s="21"/>
    </row>
    <row r="194" ht="43.5" customHeight="1">
      <c r="A194" s="18" t="s">
        <v>677</v>
      </c>
      <c r="B194" s="4" t="s">
        <v>21</v>
      </c>
      <c r="C194" s="4" t="s">
        <v>267</v>
      </c>
      <c r="D194" s="24"/>
      <c r="E194" s="19"/>
      <c r="F194" s="20"/>
      <c r="G194" s="20"/>
      <c r="H194" s="20"/>
      <c r="I194" s="20"/>
      <c r="J194" s="20"/>
      <c r="K194" s="20"/>
      <c r="L194" s="20"/>
      <c r="M194" s="20"/>
      <c r="N194" s="20"/>
      <c r="O194" s="19"/>
      <c r="P194" s="19"/>
      <c r="Q194" s="19"/>
      <c r="R194" s="19"/>
      <c r="S194" s="19"/>
      <c r="T194" s="21"/>
    </row>
    <row r="195" ht="43.5" customHeight="1">
      <c r="A195" s="22" t="s">
        <v>678</v>
      </c>
      <c r="B195" s="4" t="s">
        <v>162</v>
      </c>
      <c r="C195" s="4" t="s">
        <v>468</v>
      </c>
      <c r="D195" s="23"/>
      <c r="E195" s="19"/>
      <c r="F195" s="20"/>
      <c r="G195" s="20"/>
      <c r="H195" s="20"/>
      <c r="I195" s="20"/>
      <c r="J195" s="20"/>
      <c r="K195" s="20"/>
      <c r="L195" s="20"/>
      <c r="M195" s="20"/>
      <c r="N195" s="20"/>
      <c r="O195" s="19"/>
      <c r="P195" s="19"/>
      <c r="Q195" s="19"/>
      <c r="R195" s="19"/>
      <c r="S195" s="19"/>
      <c r="T195" s="21"/>
    </row>
    <row r="196" ht="43.5" customHeight="1">
      <c r="A196" s="18" t="s">
        <v>679</v>
      </c>
      <c r="B196" s="4" t="s">
        <v>101</v>
      </c>
      <c r="C196" s="4" t="s">
        <v>680</v>
      </c>
      <c r="D196" s="24"/>
      <c r="E196" s="19"/>
      <c r="F196" s="20"/>
      <c r="G196" s="20"/>
      <c r="H196" s="20"/>
      <c r="I196" s="20"/>
      <c r="J196" s="20"/>
      <c r="K196" s="20"/>
      <c r="L196" s="20"/>
      <c r="M196" s="20"/>
      <c r="N196" s="20"/>
      <c r="O196" s="19"/>
      <c r="P196" s="19"/>
      <c r="Q196" s="19"/>
      <c r="R196" s="19"/>
      <c r="S196" s="19"/>
      <c r="T196" s="21"/>
    </row>
    <row r="197" ht="43.5" customHeight="1">
      <c r="A197" s="22" t="s">
        <v>681</v>
      </c>
      <c r="B197" s="4" t="s">
        <v>21</v>
      </c>
      <c r="C197" s="4" t="s">
        <v>267</v>
      </c>
      <c r="D197" s="22" t="s">
        <v>675</v>
      </c>
      <c r="E197" s="19"/>
      <c r="F197" s="20"/>
      <c r="G197" s="20"/>
      <c r="H197" s="20"/>
      <c r="I197" s="20"/>
      <c r="J197" s="20"/>
      <c r="K197" s="20"/>
      <c r="L197" s="20"/>
      <c r="M197" s="20"/>
      <c r="N197" s="20"/>
      <c r="O197" s="19"/>
      <c r="P197" s="19"/>
      <c r="Q197" s="19"/>
      <c r="R197" s="19"/>
      <c r="S197" s="19"/>
      <c r="T197" s="21"/>
    </row>
    <row r="198" ht="43.5" customHeight="1">
      <c r="A198" s="18" t="s">
        <v>682</v>
      </c>
      <c r="B198" s="4" t="s">
        <v>21</v>
      </c>
      <c r="C198" s="4" t="s">
        <v>267</v>
      </c>
      <c r="D198" s="24"/>
      <c r="E198" s="19"/>
      <c r="F198" s="20"/>
      <c r="G198" s="20"/>
      <c r="H198" s="20"/>
      <c r="I198" s="20"/>
      <c r="J198" s="20"/>
      <c r="K198" s="20"/>
      <c r="L198" s="20"/>
      <c r="M198" s="20"/>
      <c r="N198" s="20"/>
      <c r="O198" s="19"/>
      <c r="P198" s="19"/>
      <c r="Q198" s="19"/>
      <c r="R198" s="19"/>
      <c r="S198" s="19"/>
      <c r="T198" s="21"/>
    </row>
    <row r="199" ht="43.5" customHeight="1">
      <c r="A199" s="22" t="s">
        <v>683</v>
      </c>
      <c r="B199" s="4" t="s">
        <v>21</v>
      </c>
      <c r="C199" s="4" t="s">
        <v>267</v>
      </c>
      <c r="D199" s="23"/>
      <c r="E199" s="19"/>
      <c r="F199" s="20"/>
      <c r="G199" s="20"/>
      <c r="H199" s="20"/>
      <c r="I199" s="20"/>
      <c r="J199" s="20"/>
      <c r="K199" s="20"/>
      <c r="L199" s="20"/>
      <c r="M199" s="20"/>
      <c r="N199" s="20"/>
      <c r="O199" s="19"/>
      <c r="P199" s="19"/>
      <c r="Q199" s="19"/>
      <c r="R199" s="19"/>
      <c r="S199" s="19"/>
      <c r="T199" s="21"/>
    </row>
    <row r="200" ht="43.5" customHeight="1">
      <c r="A200" s="18" t="s">
        <v>684</v>
      </c>
      <c r="B200" s="4" t="s">
        <v>37</v>
      </c>
      <c r="C200" s="4" t="s">
        <v>244</v>
      </c>
      <c r="D200" s="24"/>
      <c r="E200" s="19"/>
      <c r="F200" s="20"/>
      <c r="G200" s="20"/>
      <c r="H200" s="20"/>
      <c r="I200" s="20"/>
      <c r="J200" s="20"/>
      <c r="K200" s="20"/>
      <c r="L200" s="20"/>
      <c r="M200" s="20"/>
      <c r="N200" s="20"/>
      <c r="O200" s="19"/>
      <c r="P200" s="19"/>
      <c r="Q200" s="19"/>
      <c r="R200" s="19"/>
      <c r="S200" s="19"/>
      <c r="T200" s="21"/>
    </row>
    <row r="201" ht="43.5" customHeight="1">
      <c r="A201" s="22" t="s">
        <v>685</v>
      </c>
      <c r="B201" s="4" t="s">
        <v>162</v>
      </c>
      <c r="C201" s="4" t="s">
        <v>468</v>
      </c>
      <c r="D201" s="22" t="s">
        <v>686</v>
      </c>
      <c r="E201" s="19"/>
      <c r="F201" s="20"/>
      <c r="G201" s="20"/>
      <c r="H201" s="20"/>
      <c r="I201" s="20"/>
      <c r="J201" s="20"/>
      <c r="K201" s="20"/>
      <c r="L201" s="20"/>
      <c r="M201" s="20"/>
      <c r="N201" s="20"/>
      <c r="O201" s="19"/>
      <c r="P201" s="19"/>
      <c r="Q201" s="19"/>
      <c r="R201" s="19"/>
      <c r="S201" s="19"/>
      <c r="T201" s="21"/>
    </row>
    <row r="202" ht="43.5" customHeight="1">
      <c r="A202" s="18" t="s">
        <v>687</v>
      </c>
      <c r="B202" s="4" t="s">
        <v>37</v>
      </c>
      <c r="C202" s="4" t="s">
        <v>38</v>
      </c>
      <c r="D202" s="18" t="s">
        <v>688</v>
      </c>
      <c r="E202" s="19"/>
      <c r="F202" s="20"/>
      <c r="G202" s="20"/>
      <c r="H202" s="20"/>
      <c r="I202" s="20"/>
      <c r="J202" s="20"/>
      <c r="K202" s="20"/>
      <c r="L202" s="20"/>
      <c r="M202" s="20"/>
      <c r="N202" s="20"/>
      <c r="O202" s="19"/>
      <c r="P202" s="19"/>
      <c r="Q202" s="19"/>
      <c r="R202" s="19"/>
      <c r="S202" s="19"/>
      <c r="T202" s="21"/>
    </row>
    <row r="203" ht="43.5" customHeight="1">
      <c r="A203" s="22" t="s">
        <v>689</v>
      </c>
      <c r="B203" s="4" t="s">
        <v>37</v>
      </c>
      <c r="C203" s="4" t="s">
        <v>257</v>
      </c>
      <c r="D203" s="23"/>
      <c r="E203" s="19"/>
      <c r="F203" s="20"/>
      <c r="G203" s="20"/>
      <c r="H203" s="20"/>
      <c r="I203" s="20"/>
      <c r="J203" s="20"/>
      <c r="K203" s="20"/>
      <c r="L203" s="20"/>
      <c r="M203" s="20"/>
      <c r="N203" s="20"/>
      <c r="O203" s="19"/>
      <c r="P203" s="19"/>
      <c r="Q203" s="19"/>
      <c r="R203" s="19"/>
      <c r="S203" s="19"/>
      <c r="T203" s="21"/>
    </row>
    <row r="204" ht="43.5" customHeight="1">
      <c r="A204" s="18" t="s">
        <v>690</v>
      </c>
      <c r="B204" s="4" t="s">
        <v>162</v>
      </c>
      <c r="C204" s="4" t="s">
        <v>468</v>
      </c>
      <c r="D204" s="24"/>
      <c r="E204" s="19"/>
      <c r="F204" s="20"/>
      <c r="G204" s="20"/>
      <c r="H204" s="20"/>
      <c r="I204" s="20"/>
      <c r="J204" s="20"/>
      <c r="K204" s="20"/>
      <c r="L204" s="20"/>
      <c r="M204" s="20"/>
      <c r="N204" s="20"/>
      <c r="O204" s="19"/>
      <c r="P204" s="19"/>
      <c r="Q204" s="19"/>
      <c r="R204" s="19"/>
      <c r="S204" s="19"/>
      <c r="T204" s="21"/>
    </row>
    <row r="205" ht="43.5" customHeight="1">
      <c r="A205" s="22" t="s">
        <v>691</v>
      </c>
      <c r="B205" s="4" t="s">
        <v>162</v>
      </c>
      <c r="C205" s="4" t="s">
        <v>163</v>
      </c>
      <c r="D205" s="22" t="s">
        <v>692</v>
      </c>
      <c r="E205" s="19"/>
      <c r="F205" s="20"/>
      <c r="G205" s="20"/>
      <c r="H205" s="20"/>
      <c r="I205" s="20"/>
      <c r="J205" s="20"/>
      <c r="K205" s="20"/>
      <c r="L205" s="20"/>
      <c r="M205" s="20"/>
      <c r="N205" s="20"/>
      <c r="O205" s="19"/>
      <c r="P205" s="19"/>
      <c r="Q205" s="19"/>
      <c r="R205" s="19"/>
      <c r="S205" s="19"/>
      <c r="T205" s="21"/>
    </row>
    <row r="206" ht="43.5" customHeight="1">
      <c r="A206" s="18" t="s">
        <v>693</v>
      </c>
      <c r="B206" s="4" t="s">
        <v>162</v>
      </c>
      <c r="C206" s="4" t="s">
        <v>397</v>
      </c>
      <c r="D206" s="18" t="s">
        <v>686</v>
      </c>
      <c r="E206" s="19"/>
      <c r="F206" s="20"/>
      <c r="G206" s="20"/>
      <c r="H206" s="20"/>
      <c r="I206" s="20"/>
      <c r="J206" s="20"/>
      <c r="K206" s="20"/>
      <c r="L206" s="20"/>
      <c r="M206" s="20"/>
      <c r="N206" s="20"/>
      <c r="O206" s="19"/>
      <c r="P206" s="19"/>
      <c r="Q206" s="19"/>
      <c r="R206" s="19"/>
      <c r="S206" s="19"/>
      <c r="T206" s="21"/>
    </row>
    <row r="207" ht="43.5" customHeight="1">
      <c r="A207" s="22" t="s">
        <v>694</v>
      </c>
      <c r="B207" s="4" t="s">
        <v>37</v>
      </c>
      <c r="C207" s="4" t="s">
        <v>695</v>
      </c>
      <c r="D207" s="23"/>
      <c r="E207" s="19"/>
      <c r="F207" s="20"/>
      <c r="G207" s="20"/>
      <c r="H207" s="20"/>
      <c r="I207" s="20"/>
      <c r="J207" s="20"/>
      <c r="K207" s="20"/>
      <c r="L207" s="20"/>
      <c r="M207" s="20"/>
      <c r="N207" s="20"/>
      <c r="O207" s="19"/>
      <c r="P207" s="19"/>
      <c r="Q207" s="19"/>
      <c r="R207" s="19"/>
      <c r="S207" s="19"/>
      <c r="T207" s="21"/>
    </row>
    <row r="208" ht="43.5" customHeight="1">
      <c r="A208" s="18" t="s">
        <v>696</v>
      </c>
      <c r="B208" s="4" t="s">
        <v>37</v>
      </c>
      <c r="C208" s="4" t="s">
        <v>695</v>
      </c>
      <c r="D208" s="18" t="s">
        <v>697</v>
      </c>
      <c r="E208" s="19"/>
      <c r="F208" s="20"/>
      <c r="G208" s="20"/>
      <c r="H208" s="20"/>
      <c r="I208" s="20"/>
      <c r="J208" s="20"/>
      <c r="K208" s="20"/>
      <c r="L208" s="20"/>
      <c r="M208" s="20"/>
      <c r="N208" s="20"/>
      <c r="O208" s="19"/>
      <c r="P208" s="19"/>
      <c r="Q208" s="19"/>
      <c r="R208" s="19"/>
      <c r="S208" s="19"/>
      <c r="T208" s="21"/>
    </row>
    <row r="209" ht="43.5" customHeight="1">
      <c r="A209" s="22" t="s">
        <v>698</v>
      </c>
      <c r="B209" s="4" t="s">
        <v>162</v>
      </c>
      <c r="C209" s="4" t="s">
        <v>163</v>
      </c>
      <c r="D209" s="22" t="s">
        <v>164</v>
      </c>
      <c r="E209" s="19"/>
      <c r="F209" s="20"/>
      <c r="G209" s="20"/>
      <c r="H209" s="20"/>
      <c r="I209" s="20"/>
      <c r="J209" s="20"/>
      <c r="K209" s="20"/>
      <c r="L209" s="20"/>
      <c r="M209" s="20"/>
      <c r="N209" s="20"/>
      <c r="O209" s="19"/>
      <c r="P209" s="19"/>
      <c r="Q209" s="19"/>
      <c r="R209" s="19"/>
      <c r="S209" s="19"/>
      <c r="T209" s="21"/>
    </row>
    <row r="210" ht="43.5" customHeight="1">
      <c r="A210" s="18" t="s">
        <v>699</v>
      </c>
      <c r="B210" s="4" t="s">
        <v>101</v>
      </c>
      <c r="C210" s="4" t="s">
        <v>102</v>
      </c>
      <c r="D210" s="18" t="s">
        <v>700</v>
      </c>
      <c r="E210" s="19"/>
      <c r="F210" s="20"/>
      <c r="G210" s="20"/>
      <c r="H210" s="20"/>
      <c r="I210" s="20"/>
      <c r="J210" s="20"/>
      <c r="K210" s="20"/>
      <c r="L210" s="20"/>
      <c r="M210" s="20"/>
      <c r="N210" s="20"/>
      <c r="O210" s="19"/>
      <c r="P210" s="19"/>
      <c r="Q210" s="19"/>
      <c r="R210" s="19"/>
      <c r="S210" s="19"/>
      <c r="T210" s="21"/>
    </row>
    <row r="211" ht="43.5" customHeight="1">
      <c r="A211" s="22" t="s">
        <v>701</v>
      </c>
      <c r="B211" s="4" t="s">
        <v>218</v>
      </c>
      <c r="C211" s="4" t="s">
        <v>142</v>
      </c>
      <c r="D211" s="23"/>
      <c r="E211" s="19"/>
      <c r="F211" s="20"/>
      <c r="G211" s="20"/>
      <c r="H211" s="20"/>
      <c r="I211" s="20"/>
      <c r="J211" s="20"/>
      <c r="K211" s="20"/>
      <c r="L211" s="20"/>
      <c r="M211" s="20"/>
      <c r="N211" s="20"/>
      <c r="O211" s="19"/>
      <c r="P211" s="19"/>
      <c r="Q211" s="19"/>
      <c r="R211" s="19"/>
      <c r="S211" s="19"/>
      <c r="T211" s="21"/>
    </row>
    <row r="212" ht="43.5" customHeight="1">
      <c r="A212" s="18" t="s">
        <v>702</v>
      </c>
      <c r="B212" s="4" t="s">
        <v>218</v>
      </c>
      <c r="C212" s="4" t="s">
        <v>142</v>
      </c>
      <c r="D212" s="24"/>
      <c r="E212" s="19"/>
      <c r="F212" s="20"/>
      <c r="G212" s="20"/>
      <c r="H212" s="20"/>
      <c r="I212" s="20"/>
      <c r="J212" s="20"/>
      <c r="K212" s="20"/>
      <c r="L212" s="20"/>
      <c r="M212" s="20"/>
      <c r="N212" s="20"/>
      <c r="O212" s="19"/>
      <c r="P212" s="19"/>
      <c r="Q212" s="19"/>
      <c r="R212" s="19"/>
      <c r="S212" s="19"/>
      <c r="T212" s="21"/>
    </row>
    <row r="213" ht="43.5" customHeight="1">
      <c r="A213" s="22" t="s">
        <v>703</v>
      </c>
      <c r="B213" s="4" t="s">
        <v>162</v>
      </c>
      <c r="C213" s="4" t="s">
        <v>468</v>
      </c>
      <c r="D213" s="23"/>
      <c r="E213" s="19"/>
      <c r="F213" s="20"/>
      <c r="G213" s="20"/>
      <c r="H213" s="20"/>
      <c r="I213" s="20"/>
      <c r="J213" s="20"/>
      <c r="K213" s="20"/>
      <c r="L213" s="20"/>
      <c r="M213" s="20"/>
      <c r="N213" s="20"/>
      <c r="O213" s="19"/>
      <c r="P213" s="19"/>
      <c r="Q213" s="19"/>
      <c r="R213" s="19"/>
      <c r="S213" s="19"/>
      <c r="T213" s="21"/>
    </row>
    <row r="214" ht="43.5" customHeight="1">
      <c r="A214" s="18" t="s">
        <v>704</v>
      </c>
      <c r="B214" s="4" t="s">
        <v>21</v>
      </c>
      <c r="C214" s="4" t="s">
        <v>627</v>
      </c>
      <c r="D214" s="24"/>
      <c r="E214" s="19"/>
      <c r="F214" s="20"/>
      <c r="G214" s="20"/>
      <c r="H214" s="20"/>
      <c r="I214" s="20"/>
      <c r="J214" s="20"/>
      <c r="K214" s="20"/>
      <c r="L214" s="20"/>
      <c r="M214" s="20"/>
      <c r="N214" s="20"/>
      <c r="O214" s="19"/>
      <c r="P214" s="19"/>
      <c r="Q214" s="19"/>
      <c r="R214" s="19"/>
      <c r="S214" s="19"/>
      <c r="T214" s="21"/>
    </row>
    <row r="215" ht="43.5" customHeight="1">
      <c r="A215" s="22" t="s">
        <v>705</v>
      </c>
      <c r="B215" s="4" t="s">
        <v>21</v>
      </c>
      <c r="C215" s="4" t="s">
        <v>267</v>
      </c>
      <c r="D215" s="23"/>
      <c r="E215" s="19"/>
      <c r="F215" s="20"/>
      <c r="G215" s="20"/>
      <c r="H215" s="20"/>
      <c r="I215" s="20"/>
      <c r="J215" s="20"/>
      <c r="K215" s="20"/>
      <c r="L215" s="20"/>
      <c r="M215" s="20"/>
      <c r="N215" s="20"/>
      <c r="O215" s="19"/>
      <c r="P215" s="19"/>
      <c r="Q215" s="19"/>
      <c r="R215" s="19"/>
      <c r="S215" s="19"/>
      <c r="T215" s="21"/>
    </row>
    <row r="216" ht="43.5" customHeight="1">
      <c r="A216" s="18" t="s">
        <v>706</v>
      </c>
      <c r="B216" s="4" t="s">
        <v>162</v>
      </c>
      <c r="C216" s="4" t="s">
        <v>468</v>
      </c>
      <c r="D216" s="24"/>
      <c r="E216" s="19"/>
      <c r="F216" s="20"/>
      <c r="G216" s="20"/>
      <c r="H216" s="20"/>
      <c r="I216" s="20"/>
      <c r="J216" s="20"/>
      <c r="K216" s="20"/>
      <c r="L216" s="20"/>
      <c r="M216" s="20"/>
      <c r="N216" s="20"/>
      <c r="O216" s="19"/>
      <c r="P216" s="19"/>
      <c r="Q216" s="19"/>
      <c r="R216" s="19"/>
      <c r="S216" s="19"/>
      <c r="T216" s="21"/>
    </row>
    <row r="217" ht="43.5" customHeight="1">
      <c r="A217" s="22" t="s">
        <v>707</v>
      </c>
      <c r="B217" s="4" t="s">
        <v>708</v>
      </c>
      <c r="C217" s="4" t="s">
        <v>709</v>
      </c>
      <c r="D217" s="22" t="s">
        <v>710</v>
      </c>
      <c r="E217" s="19"/>
      <c r="F217" s="20"/>
      <c r="G217" s="20"/>
      <c r="H217" s="20"/>
      <c r="I217" s="20"/>
      <c r="J217" s="20"/>
      <c r="K217" s="20"/>
      <c r="L217" s="20"/>
      <c r="M217" s="20"/>
      <c r="N217" s="20"/>
      <c r="O217" s="19"/>
      <c r="P217" s="19"/>
      <c r="Q217" s="19"/>
      <c r="R217" s="19"/>
      <c r="S217" s="19"/>
      <c r="T217" s="21"/>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C217">
    <cfRule type="expression" dxfId="4" priority="1">
      <formula>OR($B2="",$C2="",#REF!="")</formula>
    </cfRule>
  </conditionalFormatting>
  <conditionalFormatting sqref="O2:O137">
    <cfRule type="expression" dxfId="5" priority="2">
      <formula>ISNUMBER(SEARCH("Needs",$O2))</formula>
    </cfRule>
  </conditionalFormatting>
  <dataValidations>
    <dataValidation type="list" allowBlank="1" sqref="S2:S137">
      <formula1>Lookups!$K$2:$K$8</formula1>
    </dataValidation>
    <dataValidation type="list" allowBlank="1" sqref="P2:P137">
      <formula1>Lookups!$I$2:$I$8</formula1>
    </dataValidation>
    <dataValidation type="list" allowBlank="1" sqref="R2:R137">
      <formula1>Lookups!$J$2:$J$4</formula1>
    </dataValidation>
    <dataValidation type="list" allowBlank="1" sqref="C2:C217">
      <formula1>Lookups!$E$2:$E$77</formula1>
    </dataValidation>
    <dataValidation type="list" allowBlank="1" sqref="B2:B217">
      <formula1>Lookups!$A$2:$A$9</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s>
  <printOptions/>
  <pageMargins bottom="0.75" footer="0.0" header="0.0" left="0.7" right="0.7" top="0.75"/>
  <pageSetup paperSize="8" scale="52" orientation="landscape"/>
  <drawing r:id="rId12"/>
  <tableParts count="1">
    <tablePart r:id="rId1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5" t="s">
        <v>0</v>
      </c>
      <c r="B1" s="25" t="s">
        <v>711</v>
      </c>
      <c r="C1" s="25" t="s">
        <v>1</v>
      </c>
      <c r="D1" s="25" t="s">
        <v>2</v>
      </c>
      <c r="E1" s="25" t="s">
        <v>712</v>
      </c>
    </row>
    <row r="2">
      <c r="A2" s="26" t="str">
        <f>IFERROR(__xludf.DUMMYFUNCTION("ARRAYFORMULA(QUERY(SPLIT(FLATTEN('Product Master P001-P0136'!A2:A137&amp;""♦""&amp;#REF!&amp;""♦""&amp;'Product Master P001-P0136'!B2:B137&amp;""♦""&amp;'Product Master P001-P0136'!C2:C137&amp;""♦""&amp;SPLIT(REGEXREPLACE(REGEXREPLACE(REGEXREPLACE('Product Master P001-P0136'!O2:O137,""("&amp;"?i)(total|gold wt|gold weight|14kt|18kt|24kt|10kt|9kt|verify|manual|pending|uploaded|image|needs cad|category|style|karat|status|bangle size|ring size|setting:|all prong|all stones|visible only|product|image contains|final|table total|stone table|gem repo"&amp;"rter|total gem|total diamond|colour stone box|diamond box|colour-stone table)"",""""),""\. "",""; ""),""\n"",""; ""),"";"")),""♦""),""select * where Col1 is not null and (lower(Col5) contains 'pcs' or lower(Col5) contains ' pc' or lower(Col5) contains 'mm"&amp;"' or lower(Col5) contains 'ct')"",0))"),"#VALUE!")</f>
        <v>#VALUE!</v>
      </c>
    </row>
  </sheetData>
  <drawing r:id="rId1"/>
</worksheet>
</file>